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385" windowHeight="8940" activeTab="3"/>
  </bookViews>
  <sheets>
    <sheet name="Changes" sheetId="1" r:id="rId1"/>
    <sheet name="WO-Sep 2017" sheetId="2" r:id="rId2"/>
    <sheet name="WO Data" sheetId="3" r:id="rId3"/>
    <sheet name="Sep 2017 Tickets" sheetId="4" r:id="rId4"/>
    <sheet name="Total Portfolio-slide 12" sheetId="5" r:id="rId5"/>
    <sheet name="ECC" sheetId="6" r:id="rId6"/>
    <sheet name="FileNet" sheetId="7" r:id="rId7"/>
    <sheet name="SEDS" sheetId="8" r:id="rId8"/>
    <sheet name="Kofax" sheetId="9" r:id="rId9"/>
    <sheet name="ILINX" sheetId="10" r:id="rId10"/>
    <sheet name="Alexandria" sheetId="11" r:id="rId11"/>
    <sheet name="STMP" sheetId="12" state="hidden" r:id="rId12"/>
    <sheet name="Reference" sheetId="13" state="hidden" r:id="rId13"/>
    <sheet name="Sheet1" sheetId="14" state="hidden" r:id="rId14"/>
    <sheet name="Total Incidents" sheetId="15" r:id="rId15"/>
    <sheet name="Total Vol" sheetId="16" r:id="rId16"/>
    <sheet name="Sheet2" sheetId="17" state="hidden" r:id="rId17"/>
    <sheet name="Sheet3" sheetId="18" state="hidden" r:id="rId18"/>
    <sheet name="RCA Counts" sheetId="19" r:id="rId19"/>
    <sheet name="RCA Trend" sheetId="20" r:id="rId20"/>
    <sheet name="RCA-ECC" sheetId="21" r:id="rId21"/>
    <sheet name="RCA-FileNet" sheetId="22" r:id="rId22"/>
    <sheet name="RCA-SEDS" sheetId="23" r:id="rId23"/>
    <sheet name="RCA-Kofax" sheetId="24" r:id="rId24"/>
    <sheet name="RCA-ILINX" sheetId="25" r:id="rId25"/>
    <sheet name="RCA-Alexandria" sheetId="26" r:id="rId26"/>
  </sheets>
  <definedNames>
    <definedName name="_xlnm._FilterDatabase" localSheetId="1" hidden="1">'WO-Sep 2017'!$A$1:$L$65</definedName>
    <definedName name="_xlnm._FilterDatabase" localSheetId="3" hidden="1">'Sep 2017 Tickets'!$A$1:$R$286</definedName>
  </definedNames>
  <calcPr calcId="144525"/>
</workbook>
</file>

<file path=xl/sharedStrings.xml><?xml version="1.0" encoding="utf-8"?>
<sst xmlns="http://schemas.openxmlformats.org/spreadsheetml/2006/main" count="422">
  <si>
    <t>Normal</t>
  </si>
  <si>
    <t>Standard</t>
  </si>
  <si>
    <t>Expedited</t>
  </si>
  <si>
    <t>Restore to Service</t>
  </si>
  <si>
    <t>Metric</t>
  </si>
  <si>
    <t>ECC</t>
  </si>
  <si>
    <t>FileNet</t>
  </si>
  <si>
    <t>SEDS</t>
  </si>
  <si>
    <t>ILINX</t>
  </si>
  <si>
    <t>Kofax</t>
  </si>
  <si>
    <t>Alexandria</t>
  </si>
  <si>
    <t>Total RFC</t>
  </si>
  <si>
    <t>Successful</t>
  </si>
  <si>
    <t>Percentage</t>
  </si>
  <si>
    <t>Portfolio</t>
  </si>
  <si>
    <t>Volume</t>
  </si>
  <si>
    <t>Successful%</t>
  </si>
  <si>
    <t>Work Order #</t>
  </si>
  <si>
    <t>Owner Group</t>
  </si>
  <si>
    <t>App Name</t>
  </si>
  <si>
    <t>Description</t>
  </si>
  <si>
    <t>Summary</t>
  </si>
  <si>
    <t>Owner Group Code</t>
  </si>
  <si>
    <t>Reported Date</t>
  </si>
  <si>
    <t>Status</t>
  </si>
  <si>
    <t>Close Date</t>
  </si>
  <si>
    <t>Target Finish Date</t>
  </si>
  <si>
    <t>Actual Finish Date</t>
  </si>
  <si>
    <t>Time</t>
  </si>
  <si>
    <t>ECP-ENTERPRISE-CONTENT-CAPTURE</t>
  </si>
  <si>
    <t>IMAGE CAPTURE SUPPORT</t>
  </si>
  <si>
    <t>COMP</t>
  </si>
  <si>
    <t>BZ-FILENET</t>
  </si>
  <si>
    <t>PLX PYRAMID SUPPORT</t>
  </si>
  <si>
    <t>FILENET SUPPORT</t>
  </si>
  <si>
    <t>INPRG</t>
  </si>
  <si>
    <t>SEDS SUPPORT</t>
  </si>
  <si>
    <t>RMS-LOWER-ENVIRONMENT-SUPPORT</t>
  </si>
  <si>
    <t>APPR</t>
  </si>
  <si>
    <t>Reported</t>
  </si>
  <si>
    <t>Resolved</t>
  </si>
  <si>
    <t>Application</t>
  </si>
  <si>
    <t>Person Group Code</t>
  </si>
  <si>
    <t>Owner Group Name</t>
  </si>
  <si>
    <t>TicketID</t>
  </si>
  <si>
    <t>Owner Name</t>
  </si>
  <si>
    <t>Application Name</t>
  </si>
  <si>
    <t>Configuration Item Description</t>
  </si>
  <si>
    <t>Root Cause</t>
  </si>
  <si>
    <t>Cause</t>
  </si>
  <si>
    <t>Resolution</t>
  </si>
  <si>
    <t>Internal Priority</t>
  </si>
  <si>
    <t>Project ID</t>
  </si>
  <si>
    <t>Manual Proactive Flag</t>
  </si>
  <si>
    <t>Related To Global Flag</t>
  </si>
  <si>
    <t>Resolved Date</t>
  </si>
  <si>
    <t>RESOLVED</t>
  </si>
  <si>
    <t>OPENED IN ERROR</t>
  </si>
  <si>
    <t>CLOSED</t>
  </si>
  <si>
    <t>NETWORK ISSUE</t>
  </si>
  <si>
    <t>APPLICATION SOFTWARE FAILURE</t>
  </si>
  <si>
    <t>VENDOR RELATED</t>
  </si>
  <si>
    <t>JOB SCHEDULE</t>
  </si>
  <si>
    <t>APPLICATION ERRORS</t>
  </si>
  <si>
    <t>DATA ERROR</t>
  </si>
  <si>
    <t>DATA ENTRY</t>
  </si>
  <si>
    <t>INSTALL/SETUP ERROR</t>
  </si>
  <si>
    <t>INTERNAL APPLICATION</t>
  </si>
  <si>
    <t>DATA TRANSMISSION FAILURE</t>
  </si>
  <si>
    <t>DATA VALIDATION</t>
  </si>
  <si>
    <t>SYSTEM REBOOT FAILURE</t>
  </si>
  <si>
    <t>OPERATING SYSTEM FAILURE</t>
  </si>
  <si>
    <t>TROUBLE NOT FOUND</t>
  </si>
  <si>
    <t>CLEARED WHILE TESTING</t>
  </si>
  <si>
    <t>BATCH</t>
  </si>
  <si>
    <t>JOB RAN LATE</t>
  </si>
  <si>
    <t>DUPLICATE REQUEST</t>
  </si>
  <si>
    <t>LACK OF CHANGE BLACKOUT REQUEST</t>
  </si>
  <si>
    <t>ACCESS RELATED</t>
  </si>
  <si>
    <t>HUMAN ERROR</t>
  </si>
  <si>
    <t>DATA FORMAT ISSUE</t>
  </si>
  <si>
    <t>OPEN</t>
  </si>
  <si>
    <t>Business Impact (Hrs.)</t>
  </si>
  <si>
    <t>P1 / P2 Incidents</t>
  </si>
  <si>
    <t>Recovery SLA Met</t>
  </si>
  <si>
    <t>fill data</t>
  </si>
  <si>
    <t>Recovery SLA Attainment</t>
  </si>
  <si>
    <t>KFA Application Availability</t>
  </si>
  <si>
    <t>Total Incidents (P1-P4)</t>
  </si>
  <si>
    <t>STMP</t>
  </si>
  <si>
    <t>Count of TicketID</t>
  </si>
  <si>
    <t>Column Labels</t>
  </si>
  <si>
    <t>Row Labels</t>
  </si>
  <si>
    <t>Ticket_ID</t>
  </si>
  <si>
    <t>Mar.</t>
  </si>
  <si>
    <t>Apr.</t>
  </si>
  <si>
    <t>May</t>
  </si>
  <si>
    <t>Jun.</t>
  </si>
  <si>
    <t>Jul.</t>
  </si>
  <si>
    <t>Aug.</t>
  </si>
  <si>
    <t>Sept.</t>
  </si>
  <si>
    <t>Oct.</t>
  </si>
  <si>
    <t>Nov.</t>
  </si>
  <si>
    <t>Dec.</t>
  </si>
  <si>
    <t>Jan.</t>
  </si>
  <si>
    <t>Grand Total</t>
  </si>
  <si>
    <t>IM1670776</t>
  </si>
  <si>
    <t>STMEDB_STMP_LOAD failed in MEDB Server</t>
  </si>
  <si>
    <t>IM1672829</t>
  </si>
  <si>
    <t>2 Total</t>
  </si>
  <si>
    <t>IM1686698</t>
  </si>
  <si>
    <t>HP-BSM Alert STMPartners_Retail AppId:AC104330 transaction:23_STMPartners_Retail_Loan_Progress_Page;</t>
  </si>
  <si>
    <t>IM1687154</t>
  </si>
  <si>
    <t>User unable to upload documents on STMpartners_win 7</t>
  </si>
  <si>
    <t>IM1733741</t>
  </si>
  <si>
    <t>OFFLine loan due to DTI error in STMP</t>
  </si>
  <si>
    <t>IM1755765</t>
  </si>
  <si>
    <t>Documents uploaded and not available to view for correspondent and retail STMPartners</t>
  </si>
  <si>
    <t>HARDWARE FAILURE</t>
  </si>
  <si>
    <t>IM1786066</t>
  </si>
  <si>
    <t>Order credit (Credco) failure in both retail &amp; tpo STMPartners</t>
  </si>
  <si>
    <t>UNABLE TO DETERMINE</t>
  </si>
  <si>
    <t>IM1806103</t>
  </si>
  <si>
    <t>Flood certificate ordering service not workingfor Retail STMPartners application</t>
  </si>
  <si>
    <t>IM1833566</t>
  </si>
  <si>
    <t>User is unable to view docs in STMP</t>
  </si>
  <si>
    <t>IM1850314</t>
  </si>
  <si>
    <t>Smartgfe get fees responses were not received for the for the Retail loans in STMPartners Production</t>
  </si>
  <si>
    <t>IM1870850</t>
  </si>
  <si>
    <t>STMP document committed to Empower Loan by Xerox</t>
  </si>
  <si>
    <t>IM1887322</t>
  </si>
  <si>
    <t>LP submission failure in STMPartners</t>
  </si>
  <si>
    <t>IM1887799</t>
  </si>
  <si>
    <t>STMP APR ISSUE with MI Falling Out</t>
  </si>
  <si>
    <t>EXTERNAL CUSTOMER ERROR</t>
  </si>
  <si>
    <t>IM1904475</t>
  </si>
  <si>
    <t>Information is not loading into STMPartners</t>
  </si>
  <si>
    <t>IM1934970</t>
  </si>
  <si>
    <t>HP-BSM Alert STMPartners_Retail AppId:AC104330 transaction:01_STMPartners_Retail_Login_Page; 1.Actio</t>
  </si>
  <si>
    <t>IIS RESTART</t>
  </si>
  <si>
    <t>IM1954953</t>
  </si>
  <si>
    <t>HP-BSM Alert STMPartners_Retail AppId:AC104330 transaction:08_STMPartners_Retail_Register_Loan_Submi</t>
  </si>
  <si>
    <t>IM1978194</t>
  </si>
  <si>
    <t>STMEDB_STMP_WHLSL_INCR_LOAD failed on MEDB</t>
  </si>
  <si>
    <t>CONNECTIVITY ISSUE - PERMISSION</t>
  </si>
  <si>
    <t>IM2002622</t>
  </si>
  <si>
    <t>STMEDB_STMP_RETAIL_INCR_LOAD failed in DR</t>
  </si>
  <si>
    <t>IM2051287</t>
  </si>
  <si>
    <t>IM2065162</t>
  </si>
  <si>
    <t>HP-BSM Alert Mortgage_TPO_Seller_Guide AppId: AC105165 transaction:01_STMPartners_TPO_Login_Page; 1.</t>
  </si>
  <si>
    <t>SERVICE REQUEST</t>
  </si>
  <si>
    <t>IM2076606</t>
  </si>
  <si>
    <t>STM employee cannot use Document Capture in STMP Correspondent</t>
  </si>
  <si>
    <t>SERVICE RESTART</t>
  </si>
  <si>
    <t>IM2084146</t>
  </si>
  <si>
    <t>STMPartners Issue</t>
  </si>
  <si>
    <t>IM2084473</t>
  </si>
  <si>
    <t>IM2087977</t>
  </si>
  <si>
    <t>IM2130833</t>
  </si>
  <si>
    <t>Sellerguide not working on TPO STMPartners Issue</t>
  </si>
  <si>
    <t>CERTIFICATE NOT INSTALLED</t>
  </si>
  <si>
    <t>3 Total</t>
  </si>
  <si>
    <t>IM1690897</t>
  </si>
  <si>
    <t>#0269250551 - Issue of the months of reserves changing after closing in STMPartners</t>
  </si>
  <si>
    <t>IM1907054</t>
  </si>
  <si>
    <t>0219170073 MILAKOVIC - STMP Correspondent</t>
  </si>
  <si>
    <t>IM1946616</t>
  </si>
  <si>
    <t>The 2 loans below do not show in STMP however they do show in MLCS</t>
  </si>
  <si>
    <t>IM1957086</t>
  </si>
  <si>
    <t>STMP has issues in displaying the document types listed for these two items</t>
  </si>
  <si>
    <t>IM1977206</t>
  </si>
  <si>
    <t>Remove duplicate loan in STMP TPO</t>
  </si>
  <si>
    <t>IM1977270</t>
  </si>
  <si>
    <t>Ivy Mortgage (PX295) receiving diff pricing when viewing Lending Space rates compared to STMP</t>
  </si>
  <si>
    <t>IM1979287</t>
  </si>
  <si>
    <t>Second Home Cash Out Refi - STMP TPO allowed to lock at 80% LTV</t>
  </si>
  <si>
    <t>IM1999926</t>
  </si>
  <si>
    <t>HP-BSM Alert STMPartners_Retail AppId:AC104330 transaction:16_STMPartners_Retail_Registration_Reques</t>
  </si>
  <si>
    <t>IM2035703</t>
  </si>
  <si>
    <t>STMP Correspondent is not picking up the FHA Premium</t>
  </si>
  <si>
    <t>IM2053716</t>
  </si>
  <si>
    <t>ata is entered into STMP but not flowing to MLCS - DOB &amp; AGE</t>
  </si>
  <si>
    <t>IM2076875</t>
  </si>
  <si>
    <t>Doc Capture in Correspondent STMP is clocking.</t>
  </si>
  <si>
    <t>IM2084751</t>
  </si>
  <si>
    <t>STMP TPO - Qualifying Rate Incorrect</t>
  </si>
  <si>
    <t>IM2099554</t>
  </si>
  <si>
    <t>Unable to view  the document's in STMP</t>
  </si>
  <si>
    <t>IM2150820</t>
  </si>
  <si>
    <t>STMP TPO ncorrect Pricing Adjustment</t>
  </si>
  <si>
    <t>4 Total</t>
  </si>
  <si>
    <t>Work Orders (Feb 2015 - Jan 2016)</t>
  </si>
  <si>
    <t>AC104062</t>
  </si>
  <si>
    <t>Feb.</t>
  </si>
  <si>
    <t>AC104120</t>
  </si>
  <si>
    <t>AC104216</t>
  </si>
  <si>
    <t>AC104278</t>
  </si>
  <si>
    <t>AC104280</t>
  </si>
  <si>
    <t>AC104282</t>
  </si>
  <si>
    <t>AC104284</t>
  </si>
  <si>
    <t>AC104285</t>
  </si>
  <si>
    <t>AC104330</t>
  </si>
  <si>
    <t>AC104526</t>
  </si>
  <si>
    <t>AC104537</t>
  </si>
  <si>
    <t>AC104539</t>
  </si>
  <si>
    <t>AC104543</t>
  </si>
  <si>
    <t>AC104695</t>
  </si>
  <si>
    <t>AC104696</t>
  </si>
  <si>
    <t>AC104722</t>
  </si>
  <si>
    <t>AC104866</t>
  </si>
  <si>
    <t>AC105047</t>
  </si>
  <si>
    <t>AC105164</t>
  </si>
  <si>
    <t>AC110160</t>
  </si>
  <si>
    <t>AC110208</t>
  </si>
  <si>
    <t>AC110325</t>
  </si>
  <si>
    <t>AC110442</t>
  </si>
  <si>
    <t>AC295259</t>
  </si>
  <si>
    <t>#_MAINFRAME_GENERIC</t>
  </si>
  <si>
    <t>#_NETWORK_GENERIC</t>
  </si>
  <si>
    <t>#_WINDOWSCOMPUTERSYSTEM_GENERIC</t>
  </si>
  <si>
    <t>AC104066</t>
  </si>
  <si>
    <t>AC104277</t>
  </si>
  <si>
    <t>AC104281</t>
  </si>
  <si>
    <t>AC104325</t>
  </si>
  <si>
    <t>AC104670</t>
  </si>
  <si>
    <t>AC104698</t>
  </si>
  <si>
    <t>AC104778</t>
  </si>
  <si>
    <t>AC105165</t>
  </si>
  <si>
    <t>AC109898</t>
  </si>
  <si>
    <t>AC110198</t>
  </si>
  <si>
    <t>AC110242</t>
  </si>
  <si>
    <t>AC110362</t>
  </si>
  <si>
    <t>AC110422</t>
  </si>
  <si>
    <t>AC306094</t>
  </si>
  <si>
    <t>AC311026</t>
  </si>
  <si>
    <t>AC312737</t>
  </si>
  <si>
    <t>AC320344</t>
  </si>
  <si>
    <t>AL192R1~396215</t>
  </si>
  <si>
    <t>CLARIFIRE~220971</t>
  </si>
  <si>
    <t>EMPOWER~232435</t>
  </si>
  <si>
    <t>FIDELITY_MF~244499</t>
  </si>
  <si>
    <t>GA016A309~395107</t>
  </si>
  <si>
    <t>GA016D240.CORP.SUNTRUST.COM:1435~243607</t>
  </si>
  <si>
    <t>GA016VSQL052</t>
  </si>
  <si>
    <t>GA016VSQL0F9</t>
  </si>
  <si>
    <t>GA016W1CF~367170</t>
  </si>
  <si>
    <t>MANUAL_GA016F013_B</t>
  </si>
  <si>
    <t>OTHER</t>
  </si>
  <si>
    <t>SOFTWARE MANAGER DATABASE~229781</t>
  </si>
  <si>
    <t>TPGLIABILITY~241236</t>
  </si>
  <si>
    <t>VA018F005~615146</t>
  </si>
  <si>
    <t>VA018F007~615136</t>
  </si>
  <si>
    <t>VA134R99</t>
  </si>
  <si>
    <t>Closed</t>
  </si>
  <si>
    <t>Open Status</t>
  </si>
  <si>
    <t>Total</t>
  </si>
  <si>
    <t>Opened</t>
  </si>
  <si>
    <t>P1</t>
  </si>
  <si>
    <t>P2</t>
  </si>
  <si>
    <t>P3</t>
  </si>
  <si>
    <t>P4</t>
  </si>
  <si>
    <t>Month</t>
  </si>
  <si>
    <t>PG22586</t>
  </si>
  <si>
    <t>IM3161580</t>
  </si>
  <si>
    <t>Chilad.Shrishail</t>
  </si>
  <si>
    <t>PYRAMID PLX</t>
  </si>
  <si>
    <t>User was not part of the admin group</t>
  </si>
  <si>
    <t>The user was not part of the admin access group though it was approved by Daniel. Granted the access. SC should now be able to install the required software.</t>
  </si>
  <si>
    <t>unable to sign on to PLX</t>
  </si>
  <si>
    <t>PG22591</t>
  </si>
  <si>
    <t>IM3251924</t>
  </si>
  <si>
    <t>Kurunji sripathi.Naveen</t>
  </si>
  <si>
    <t>GA016VK001</t>
  </si>
  <si>
    <t>No files found for processing when checked.</t>
  </si>
  <si>
    <t>File Age Over 1 hour in T:\DataTrans\Inbound\EMPW001</t>
  </si>
  <si>
    <t>IM3251493</t>
  </si>
  <si>
    <t>Saha.Debanjan</t>
  </si>
  <si>
    <t>SUNTRUST ENTERPRISE SEARCH</t>
  </si>
  <si>
    <t>Intermittent net work issue.</t>
  </si>
  <si>
    <t>Recived positive alert at 4:50AM. Checked SEDS search and retrieval and no issue found.</t>
  </si>
  <si>
    <t>HPBSM Alert SEDS AppId:AC104858 transaction:04_SEDS_OnPointe_Signature_Card_Account_Number_Search; R</t>
  </si>
  <si>
    <t>IM3251489</t>
  </si>
  <si>
    <t>No files found when checked.</t>
  </si>
  <si>
    <t>IM3251195</t>
  </si>
  <si>
    <t>IM3250787</t>
  </si>
  <si>
    <t>Parvatham.Naveen</t>
  </si>
  <si>
    <t>GA016KVA02B</t>
  </si>
  <si>
    <t>File Age Over 1 hour in L:\ECCRelease\Working\PWM001</t>
  </si>
  <si>
    <t>IM3249809</t>
  </si>
  <si>
    <t>GA016K140</t>
  </si>
  <si>
    <t>Connection restored automatically and jobs got processed.</t>
  </si>
  <si>
    <t>LOG EVENT ERROR found in S:\LOGFILES\ECCBMU\ECCBMU.LOG</t>
  </si>
  <si>
    <t>IM3249803</t>
  </si>
  <si>
    <t>Subramanian.Prakas</t>
  </si>
  <si>
    <t>ENTERPRISE CONTENT CAPTURE</t>
  </si>
  <si>
    <t>Cleared While Testing</t>
  </si>
  <si>
    <t>Resolution Not Required</t>
  </si>
  <si>
    <t>IM3249643</t>
  </si>
  <si>
    <t>Karnam.Soujanya</t>
  </si>
  <si>
    <t>Files in the mentioned path got processed already.</t>
  </si>
  <si>
    <t>File Age Over 15 min in T:\DataTrans\Inbound\TPDEF01</t>
  </si>
  <si>
    <t>IM3249642</t>
  </si>
  <si>
    <t>GA016KVA027</t>
  </si>
  <si>
    <t>File Exists in \\GA016KVA027\Inbound\OFIC</t>
  </si>
  <si>
    <t>IM3249626</t>
  </si>
  <si>
    <t>No files found to process.</t>
  </si>
  <si>
    <t>No files found to process. The folder was empty when checked.</t>
  </si>
  <si>
    <t>IM3249624</t>
  </si>
  <si>
    <t>IM3249480</t>
  </si>
  <si>
    <t>Intermittent network issue. No issue seen in document fetch</t>
  </si>
  <si>
    <t>Received positive alert at 4:30 PM. checked the document fetch and found no issue.</t>
  </si>
  <si>
    <t>HPBSM Alert SEDS AppId:AC104858 transaction:11_SEDS_OnPointe_Deposits_Advanced_Document_Loaded; Resp</t>
  </si>
  <si>
    <t>IM3248409</t>
  </si>
  <si>
    <t>SEDS is working fine</t>
  </si>
  <si>
    <t>HPBSM Alert SEDS AppId:AC104858 transaction:05_SEDS_OnPointe_Signature_Card_Document_Loaded; N/A</t>
  </si>
  <si>
    <t>IM3248390</t>
  </si>
  <si>
    <t>Tripathi.Anshuman</t>
  </si>
  <si>
    <t>Cleared while testing</t>
  </si>
  <si>
    <t>Resolution Activity not required
Checked the application and document retreivgal is working fine.</t>
  </si>
  <si>
    <t>IM3248348</t>
  </si>
  <si>
    <t>Singh.Akanksha</t>
  </si>
  <si>
    <t>Checked the application, the document retrieval is working fine.</t>
  </si>
  <si>
    <t>IM3248329</t>
  </si>
  <si>
    <t>Gupta.Pankush</t>
  </si>
  <si>
    <t>Trouble not found</t>
  </si>
  <si>
    <t>IM3248142</t>
  </si>
  <si>
    <t>Checked the Application, the document retrievals are as expected.</t>
  </si>
  <si>
    <t>IM3248120</t>
  </si>
  <si>
    <t>IM3248119</t>
  </si>
  <si>
    <t>No files found pending to process.</t>
  </si>
  <si>
    <t>No action required.</t>
  </si>
  <si>
    <t>IM3248114</t>
  </si>
  <si>
    <t>No batch files found pending to process when logged into the server.</t>
  </si>
  <si>
    <t>No batch files found to process. There was thumbs.db file found and it was deleted.</t>
  </si>
  <si>
    <t>IM3247560</t>
  </si>
  <si>
    <t>IM3247366</t>
  </si>
  <si>
    <t>IM3246447</t>
  </si>
  <si>
    <t>cleared while testing</t>
  </si>
  <si>
    <t>All files have been processed from this path.</t>
  </si>
  <si>
    <t>IM3246072</t>
  </si>
  <si>
    <t>IM3246064</t>
  </si>
  <si>
    <t>IM3246013</t>
  </si>
  <si>
    <t>All files have processed from this path.</t>
  </si>
  <si>
    <t>IM3246002</t>
  </si>
  <si>
    <t>Files got processed already.</t>
  </si>
  <si>
    <t>IM3244063</t>
  </si>
  <si>
    <t>DB Connection error</t>
  </si>
  <si>
    <t>Job 5822 got completed in 2nd try.</t>
  </si>
  <si>
    <t>IM3244025</t>
  </si>
  <si>
    <t>Maurya.Piyush</t>
  </si>
  <si>
    <t>TROUBLE NOT FOUND \ CLEARED WHILE TESTING</t>
  </si>
  <si>
    <t>IM3244018</t>
  </si>
  <si>
    <t>Trouble Not Found</t>
  </si>
  <si>
    <t>File Age Over 1 hour in L:\ECCRelease\Working\PWM002</t>
  </si>
  <si>
    <t>IM3243549</t>
  </si>
  <si>
    <t>All the files in the mentioned path got processed already.</t>
  </si>
  <si>
    <t>IM3241009</t>
  </si>
  <si>
    <t>LOG EVENT ERROR found in L:\logfiles\THORPurge\THORPURGE.log</t>
  </si>
  <si>
    <t>IM3240979</t>
  </si>
  <si>
    <t>IM3240673</t>
  </si>
  <si>
    <t>IM3240472</t>
  </si>
  <si>
    <t>IM3239440</t>
  </si>
  <si>
    <t>IM3237629</t>
  </si>
  <si>
    <t>All files where processed.</t>
  </si>
  <si>
    <t>IM3237406</t>
  </si>
  <si>
    <t>All files processed from the path</t>
  </si>
  <si>
    <t>IM3235238</t>
  </si>
  <si>
    <t>The document retrieval is working fine, checked on individual nodes and load balancer URL.</t>
  </si>
  <si>
    <t>IM3234132</t>
  </si>
  <si>
    <t>IM3233930</t>
  </si>
  <si>
    <t>All files were processed from the path.</t>
  </si>
  <si>
    <t>IM3229691</t>
  </si>
  <si>
    <t>File Age Over 10 min in L:\Inbound\ACSLZ</t>
  </si>
  <si>
    <t>IM3229668</t>
  </si>
  <si>
    <t>IM3229667</t>
  </si>
  <si>
    <t>GA016D36B</t>
  </si>
  <si>
    <t>LOG EVENT Error found in F:\ProgramData\ImageSource\ILINX Export\logs\</t>
  </si>
  <si>
    <t>IM3229642</t>
  </si>
  <si>
    <t>IM3229600</t>
  </si>
  <si>
    <t>IM3229029</t>
  </si>
  <si>
    <t>File Age Over 15 min in S:\ECMHubMessages\Working\CLOWLS</t>
  </si>
  <si>
    <t>IM3228860</t>
  </si>
  <si>
    <t>GA016VAD48</t>
  </si>
  <si>
    <t>File Exists in \\ga016f005\dco_store_prod\LandingZone\Error\ECC\WLS004</t>
  </si>
  <si>
    <t>IM3228858</t>
  </si>
  <si>
    <t>File Exists in \\ga016f005\dco_store_prod\LandingZone\Error\EventTracker\EBAR</t>
  </si>
  <si>
    <t>IM3227689</t>
  </si>
  <si>
    <t>Radha.G</t>
  </si>
  <si>
    <t>IM3227676</t>
  </si>
  <si>
    <t>HPBSM Alert SEDS AppId:AC104858 transaction:05_SEDS_OnPointe_Signature_Card_Document_Loaded; Respons</t>
  </si>
  <si>
    <t>IM3227529</t>
  </si>
  <si>
    <t>Chandrasekar.Arjun</t>
  </si>
  <si>
    <t>IM3227455</t>
  </si>
  <si>
    <t>IM3227406</t>
  </si>
  <si>
    <t>IM3227224</t>
  </si>
  <si>
    <t>File Age Over 2 hours in L:\ECCRelease\Working\AML001</t>
  </si>
  <si>
    <t>IM3226164</t>
  </si>
  <si>
    <t>File Age Over 30 min in S:\ECCBMU\BCCFDRBKDID</t>
  </si>
  <si>
    <t>IM3225905</t>
  </si>
  <si>
    <t>IM3225634</t>
  </si>
  <si>
    <t>File Age Over 45 min in L:\Outbound\ALSIL</t>
  </si>
  <si>
    <t>IM3225435</t>
  </si>
  <si>
    <t>IM3225237</t>
  </si>
  <si>
    <t>No files present in the llocation</t>
  </si>
  <si>
    <t>No files present in the llocation. All files are processed</t>
  </si>
  <si>
    <t>IM3224183</t>
  </si>
  <si>
    <t>DISTRIBUTED CAPTURE ON-RAMP/ILINX</t>
  </si>
  <si>
    <t>File Exists in \\ga016f005\dco_store_prod\LandingZone\EventTracker\EBAR</t>
  </si>
  <si>
    <t>IM3223196</t>
  </si>
  <si>
    <t>IM3222952</t>
  </si>
  <si>
    <t>IM3221078</t>
  </si>
  <si>
    <t>IM3221007</t>
  </si>
  <si>
    <t>IM3220924</t>
  </si>
  <si>
    <t>Palanisamy.Jeevanantham</t>
  </si>
  <si>
    <t>(All)</t>
  </si>
  <si>
    <t>Count of Root Cause</t>
  </si>
  <si>
    <t>(blank)</t>
  </si>
  <si>
    <t>WAD RC(OTHERS)</t>
  </si>
  <si>
    <t>#Incidents</t>
  </si>
  <si>
    <t>INSUFFICIENT KNOWLEDGE/TRAINING</t>
  </si>
  <si>
    <t>Others</t>
  </si>
  <si>
    <t>OTHERS</t>
  </si>
</sst>
</file>

<file path=xl/styles.xml><?xml version="1.0" encoding="utf-8"?>
<styleSheet xmlns="http://schemas.openxmlformats.org/spreadsheetml/2006/main">
  <numFmts count="7">
    <numFmt numFmtId="176" formatCode="mmm\ d\,\ yyyy\ h:mm:ss\ AM/PM"/>
    <numFmt numFmtId="177" formatCode="#0"/>
    <numFmt numFmtId="44" formatCode="_(&quot;$&quot;* #,##0.00_);_(&quot;$&quot;* \(#,##0.00\);_(&quot;$&quot;* &quot;-&quot;??_);_(@_)"/>
    <numFmt numFmtId="178" formatCode="&quot;$&quot;#,##0"/>
    <numFmt numFmtId="179" formatCode="#0.########"/>
    <numFmt numFmtId="180" formatCode="_ * #,##0_ ;_ * \-#,##0_ ;_ * &quot;-&quot;_ ;_ @_ "/>
    <numFmt numFmtId="181" formatCode="_ * #,##0.00_ ;_ * \-#,##0.00_ ;_ * &quot;-&quot;??_ ;_ @_ "/>
  </numFmts>
  <fonts count="28">
    <font>
      <sz val="10"/>
      <color theme="1"/>
      <name val="Tahoma"/>
      <charset val="134"/>
    </font>
    <font>
      <b/>
      <sz val="10"/>
      <color theme="1"/>
      <name val="Tahoma"/>
      <charset val="134"/>
    </font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b/>
      <sz val="10"/>
      <color rgb="FF000000"/>
      <name val="Calibri"/>
      <charset val="134"/>
      <scheme val="minor"/>
    </font>
    <font>
      <b/>
      <sz val="10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sz val="8"/>
      <color theme="1"/>
      <name val="Arial Unicode MS"/>
      <charset val="134"/>
    </font>
    <font>
      <sz val="10"/>
      <color rgb="FF000000"/>
      <name val="Tahoma"/>
      <charset val="134"/>
    </font>
    <font>
      <b/>
      <sz val="11"/>
      <color rgb="FFFFFF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theme="1"/>
      <name val="Calibri"/>
      <charset val="0"/>
      <scheme val="minor"/>
    </font>
    <font>
      <b/>
      <sz val="18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u/>
      <sz val="11"/>
      <color rgb="FF0000FF"/>
      <name val="Calibri"/>
      <charset val="0"/>
      <scheme val="minor"/>
    </font>
    <font>
      <sz val="11"/>
      <color rgb="FF9C0006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3F3F3F"/>
      <name val="Calibri"/>
      <charset val="0"/>
      <scheme val="minor"/>
    </font>
  </fonts>
  <fills count="39">
    <fill>
      <patternFill patternType="none"/>
    </fill>
    <fill>
      <patternFill patternType="gray125"/>
    </fill>
    <fill>
      <patternFill patternType="solid">
        <fgColor theme="4" tint="0.799981688894314"/>
        <bgColor theme="4" tint="0.79998168889431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BFD2E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FFCC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theme="4" tint="0.39997558519241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rgb="FF608BB4"/>
      </left>
      <right style="medium">
        <color rgb="FF608BB4"/>
      </right>
      <top style="medium">
        <color rgb="FF608BB4"/>
      </top>
      <bottom style="medium">
        <color rgb="FF608BB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608BB4"/>
      </left>
      <right style="medium">
        <color rgb="FF608BB4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5">
    <xf numFmtId="0" fontId="0" fillId="0" borderId="0"/>
    <xf numFmtId="0" fontId="0" fillId="0" borderId="0"/>
    <xf numFmtId="0" fontId="0" fillId="0" borderId="0"/>
    <xf numFmtId="0" fontId="16" fillId="20" borderId="0"/>
    <xf numFmtId="0" fontId="11" fillId="36" borderId="0"/>
    <xf numFmtId="0" fontId="16" fillId="22" borderId="0"/>
    <xf numFmtId="0" fontId="16" fillId="28" borderId="0"/>
    <xf numFmtId="0" fontId="11" fillId="35" borderId="0"/>
    <xf numFmtId="0" fontId="2" fillId="0" borderId="0"/>
    <xf numFmtId="0" fontId="11" fillId="33" borderId="0"/>
    <xf numFmtId="0" fontId="16" fillId="37" borderId="0"/>
    <xf numFmtId="0" fontId="16" fillId="34" borderId="0"/>
    <xf numFmtId="0" fontId="11" fillId="31" borderId="0"/>
    <xf numFmtId="0" fontId="16" fillId="16" borderId="0"/>
    <xf numFmtId="0" fontId="23" fillId="0" borderId="12"/>
    <xf numFmtId="0" fontId="11" fillId="30" borderId="0"/>
    <xf numFmtId="0" fontId="16" fillId="23" borderId="0"/>
    <xf numFmtId="0" fontId="16" fillId="29" borderId="0"/>
    <xf numFmtId="0" fontId="11" fillId="32" borderId="0"/>
    <xf numFmtId="0" fontId="2" fillId="0" borderId="0"/>
    <xf numFmtId="0" fontId="11" fillId="14" borderId="0"/>
    <xf numFmtId="0" fontId="16" fillId="19" borderId="0"/>
    <xf numFmtId="0" fontId="11" fillId="27" borderId="0"/>
    <xf numFmtId="0" fontId="2" fillId="0" borderId="0"/>
    <xf numFmtId="0" fontId="16" fillId="26" borderId="0"/>
    <xf numFmtId="180" fontId="2" fillId="0" borderId="0"/>
    <xf numFmtId="0" fontId="20" fillId="21" borderId="0"/>
    <xf numFmtId="0" fontId="16" fillId="15" borderId="0"/>
    <xf numFmtId="0" fontId="18" fillId="18" borderId="0"/>
    <xf numFmtId="0" fontId="11" fillId="13" borderId="0"/>
    <xf numFmtId="0" fontId="15" fillId="0" borderId="11"/>
    <xf numFmtId="0" fontId="27" fillId="24" borderId="14"/>
    <xf numFmtId="44" fontId="2" fillId="0" borderId="0"/>
    <xf numFmtId="0" fontId="11" fillId="11" borderId="0"/>
    <xf numFmtId="0" fontId="2" fillId="38" borderId="15"/>
    <xf numFmtId="0" fontId="14" fillId="12" borderId="10"/>
    <xf numFmtId="0" fontId="19" fillId="0" borderId="0"/>
    <xf numFmtId="0" fontId="21" fillId="24" borderId="10"/>
    <xf numFmtId="0" fontId="22" fillId="25" borderId="0"/>
    <xf numFmtId="0" fontId="19" fillId="0" borderId="13"/>
    <xf numFmtId="0" fontId="25" fillId="0" borderId="0"/>
    <xf numFmtId="0" fontId="16" fillId="17" borderId="0"/>
    <xf numFmtId="0" fontId="2" fillId="0" borderId="0"/>
    <xf numFmtId="0" fontId="13" fillId="0" borderId="9"/>
    <xf numFmtId="0" fontId="11" fillId="10" borderId="0"/>
    <xf numFmtId="0" fontId="12" fillId="0" borderId="0"/>
    <xf numFmtId="0" fontId="26" fillId="0" borderId="0"/>
    <xf numFmtId="0" fontId="2" fillId="0" borderId="0"/>
    <xf numFmtId="0" fontId="11" fillId="9" borderId="0"/>
    <xf numFmtId="0" fontId="17" fillId="0" borderId="0"/>
    <xf numFmtId="0" fontId="10" fillId="0" borderId="0"/>
    <xf numFmtId="0" fontId="24" fillId="0" borderId="9"/>
    <xf numFmtId="181" fontId="2" fillId="0" borderId="0"/>
    <xf numFmtId="0" fontId="9" fillId="8" borderId="8"/>
    <xf numFmtId="0" fontId="2" fillId="0" borderId="0"/>
  </cellStyleXfs>
  <cellXfs count="65">
    <xf numFmtId="0" fontId="0" fillId="0" borderId="0" xfId="0"/>
    <xf numFmtId="0" fontId="1" fillId="2" borderId="1" xfId="19" applyFont="1" applyFill="1" applyBorder="1"/>
    <xf numFmtId="0" fontId="0" fillId="0" borderId="0" xfId="0" applyAlignment="1">
      <alignment horizontal="left"/>
    </xf>
    <xf numFmtId="0" fontId="0" fillId="0" borderId="0" xfId="19" applyFont="1"/>
    <xf numFmtId="0" fontId="2" fillId="0" borderId="0" xfId="19"/>
    <xf numFmtId="0" fontId="3" fillId="3" borderId="0" xfId="19" applyFont="1" applyFill="1"/>
    <xf numFmtId="0" fontId="3" fillId="0" borderId="0" xfId="19" applyFont="1"/>
    <xf numFmtId="0" fontId="2" fillId="0" borderId="0" xfId="19" applyAlignment="1">
      <alignment horizontal="left"/>
    </xf>
    <xf numFmtId="17" fontId="1" fillId="2" borderId="0" xfId="19" applyNumberFormat="1" applyFont="1" applyFill="1"/>
    <xf numFmtId="17" fontId="1" fillId="2" borderId="1" xfId="19" applyNumberFormat="1" applyFont="1" applyFill="1" applyBorder="1"/>
    <xf numFmtId="0" fontId="2" fillId="0" borderId="0" xfId="8"/>
    <xf numFmtId="0" fontId="0" fillId="0" borderId="0" xfId="0" applyAlignment="1">
      <alignment wrapText="1"/>
    </xf>
    <xf numFmtId="22" fontId="0" fillId="0" borderId="0" xfId="0" applyNumberFormat="1"/>
    <xf numFmtId="17" fontId="2" fillId="0" borderId="0" xfId="19" applyNumberFormat="1" applyAlignment="1">
      <alignment horizontal="left"/>
    </xf>
    <xf numFmtId="0" fontId="1" fillId="0" borderId="0" xfId="0" applyFont="1" applyAlignment="1">
      <alignment horizontal="center" vertical="center"/>
    </xf>
    <xf numFmtId="49" fontId="0" fillId="0" borderId="0" xfId="0" applyNumberFormat="1" applyAlignment="1">
      <alignment horizontal="left"/>
    </xf>
    <xf numFmtId="0" fontId="4" fillId="0" borderId="2" xfId="0" applyFont="1" applyBorder="1" applyAlignment="1">
      <alignment horizontal="center" vertical="center"/>
    </xf>
    <xf numFmtId="0" fontId="4" fillId="0" borderId="2" xfId="0" applyFont="1" applyBorder="1" applyAlignment="1">
      <alignment vertical="center"/>
    </xf>
    <xf numFmtId="2" fontId="0" fillId="0" borderId="2" xfId="0" applyNumberFormat="1" applyBorder="1"/>
    <xf numFmtId="2" fontId="0" fillId="4" borderId="2" xfId="0" applyNumberFormat="1" applyFill="1" applyBorder="1"/>
    <xf numFmtId="0" fontId="2" fillId="0" borderId="0" xfId="0" applyFont="1"/>
    <xf numFmtId="0" fontId="1" fillId="0" borderId="0" xfId="0" applyFont="1" applyAlignment="1">
      <alignment horizontal="center"/>
    </xf>
    <xf numFmtId="0" fontId="0" fillId="0" borderId="2" xfId="0" applyBorder="1"/>
    <xf numFmtId="178" fontId="0" fillId="0" borderId="0" xfId="0" applyNumberFormat="1"/>
    <xf numFmtId="0" fontId="0" fillId="0" borderId="2" xfId="0" applyBorder="1" applyAlignment="1">
      <alignment horizontal="center"/>
    </xf>
    <xf numFmtId="0" fontId="5" fillId="5" borderId="2" xfId="0" applyFont="1" applyFill="1" applyBorder="1" applyAlignment="1">
      <alignment horizontal="center" vertical="center"/>
    </xf>
    <xf numFmtId="17" fontId="5" fillId="5" borderId="2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2" fontId="6" fillId="4" borderId="2" xfId="0" applyNumberFormat="1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9" fontId="6" fillId="6" borderId="2" xfId="0" applyNumberFormat="1" applyFont="1" applyFill="1" applyBorder="1" applyAlignment="1">
      <alignment horizontal="center" vertical="center"/>
    </xf>
    <xf numFmtId="10" fontId="6" fillId="0" borderId="2" xfId="0" applyNumberFormat="1" applyFont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17" fontId="5" fillId="5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7" borderId="4" xfId="0" applyFont="1" applyFill="1" applyBorder="1" applyAlignment="1">
      <alignment horizontal="center" vertical="top"/>
    </xf>
    <xf numFmtId="0" fontId="7" fillId="0" borderId="5" xfId="0" applyFont="1" applyBorder="1" applyAlignment="1">
      <alignment vertical="top"/>
    </xf>
    <xf numFmtId="0" fontId="0" fillId="0" borderId="5" xfId="0" applyBorder="1"/>
    <xf numFmtId="177" fontId="7" fillId="0" borderId="5" xfId="0" applyNumberFormat="1" applyFont="1" applyBorder="1" applyAlignment="1">
      <alignment vertical="top"/>
    </xf>
    <xf numFmtId="0" fontId="7" fillId="0" borderId="5" xfId="0" applyFont="1" applyBorder="1" applyAlignment="1">
      <alignment vertical="top" wrapText="1"/>
    </xf>
    <xf numFmtId="176" fontId="7" fillId="0" borderId="5" xfId="0" applyNumberFormat="1" applyFont="1" applyBorder="1" applyAlignment="1">
      <alignment vertical="top"/>
    </xf>
    <xf numFmtId="0" fontId="7" fillId="7" borderId="6" xfId="0" applyFont="1" applyFill="1" applyBorder="1" applyAlignment="1">
      <alignment horizontal="center" vertical="top"/>
    </xf>
    <xf numFmtId="179" fontId="7" fillId="0" borderId="5" xfId="0" applyNumberFormat="1" applyFont="1" applyBorder="1" applyAlignment="1">
      <alignment vertical="top"/>
    </xf>
    <xf numFmtId="0" fontId="7" fillId="0" borderId="5" xfId="0" applyFont="1" applyBorder="1" applyAlignment="1">
      <alignment horizontal="center" vertical="top"/>
    </xf>
    <xf numFmtId="0" fontId="1" fillId="0" borderId="0" xfId="0" applyFont="1"/>
    <xf numFmtId="0" fontId="8" fillId="0" borderId="0" xfId="0" applyFont="1" applyAlignment="1">
      <alignment horizontal="left" vertical="center"/>
    </xf>
    <xf numFmtId="0" fontId="8" fillId="0" borderId="0" xfId="0" applyFont="1" applyAlignment="1">
      <alignment horizontal="right" vertical="center"/>
    </xf>
    <xf numFmtId="0" fontId="1" fillId="2" borderId="0" xfId="19" applyFont="1" applyFill="1"/>
    <xf numFmtId="0" fontId="1" fillId="2" borderId="0" xfId="19" applyFont="1" applyFill="1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/>
    <xf numFmtId="0" fontId="7" fillId="4" borderId="5" xfId="0" applyFont="1" applyFill="1" applyBorder="1" applyAlignment="1">
      <alignment vertical="top"/>
    </xf>
    <xf numFmtId="0" fontId="7" fillId="4" borderId="5" xfId="0" applyFont="1" applyFill="1" applyBorder="1" applyAlignment="1">
      <alignment horizontal="center" vertical="top"/>
    </xf>
    <xf numFmtId="0" fontId="0" fillId="4" borderId="5" xfId="0" applyFill="1" applyBorder="1"/>
    <xf numFmtId="176" fontId="7" fillId="4" borderId="5" xfId="0" applyNumberFormat="1" applyFont="1" applyFill="1" applyBorder="1" applyAlignment="1">
      <alignment vertical="top"/>
    </xf>
    <xf numFmtId="0" fontId="7" fillId="0" borderId="0" xfId="0" applyFont="1" applyAlignment="1">
      <alignment vertical="top"/>
    </xf>
    <xf numFmtId="0" fontId="7" fillId="4" borderId="6" xfId="0" applyFont="1" applyFill="1" applyBorder="1" applyAlignment="1">
      <alignment horizontal="center" vertical="top"/>
    </xf>
    <xf numFmtId="17" fontId="5" fillId="5" borderId="7" xfId="0" applyNumberFormat="1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9" fontId="6" fillId="0" borderId="2" xfId="0" applyNumberFormat="1" applyFont="1" applyBorder="1" applyAlignment="1">
      <alignment horizontal="center" vertical="center"/>
    </xf>
    <xf numFmtId="10" fontId="0" fillId="0" borderId="2" xfId="0" applyNumberFormat="1" applyBorder="1"/>
    <xf numFmtId="0" fontId="5" fillId="5" borderId="2" xfId="0" applyFont="1" applyFill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10" fontId="0" fillId="0" borderId="0" xfId="0" applyNumberFormat="1"/>
  </cellXfs>
  <cellStyles count="55">
    <cellStyle name="Normal" xfId="0" builtinId="0"/>
    <cellStyle name="Percent 2" xfId="1"/>
    <cellStyle name="Normal 2" xfId="2"/>
    <cellStyle name="60% - Accent6" xfId="3" builtinId="52"/>
    <cellStyle name="40% - Accent6" xfId="4" builtinId="51"/>
    <cellStyle name="60% - Accent5" xfId="5" builtinId="48"/>
    <cellStyle name="Accent6" xfId="6" builtinId="49"/>
    <cellStyle name="40% - Accent5" xfId="7" builtinId="47"/>
    <cellStyle name="Normal 4 2" xfId="8"/>
    <cellStyle name="20% - Accent5" xfId="9" builtinId="46"/>
    <cellStyle name="60% - Accent4" xfId="10" builtinId="44"/>
    <cellStyle name="Accent5" xfId="11" builtinId="45"/>
    <cellStyle name="40% - Accent4" xfId="12" builtinId="43"/>
    <cellStyle name="Accent4" xfId="13" builtinId="41"/>
    <cellStyle name="Linked Cell" xfId="14" builtinId="24"/>
    <cellStyle name="40% - Accent3" xfId="15" builtinId="39"/>
    <cellStyle name="60% - Accent2" xfId="16" builtinId="36"/>
    <cellStyle name="Accent3" xfId="17" builtinId="37"/>
    <cellStyle name="40% - Accent2" xfId="18" builtinId="35"/>
    <cellStyle name="Normal 4" xfId="19"/>
    <cellStyle name="20% - Accent2" xfId="20" builtinId="34"/>
    <cellStyle name="Accent2" xfId="21" builtinId="33"/>
    <cellStyle name="40% - Accent1" xfId="22" builtinId="31"/>
    <cellStyle name="Normal 3 2" xfId="23"/>
    <cellStyle name="Accent1" xfId="24" builtinId="29"/>
    <cellStyle name="Comma[0]" xfId="25" builtinId="6"/>
    <cellStyle name="Neutral" xfId="26" builtinId="28"/>
    <cellStyle name="60% - Accent1" xfId="27" builtinId="32"/>
    <cellStyle name="Bad" xfId="28" builtinId="27"/>
    <cellStyle name="20% - Accent4" xfId="29" builtinId="42"/>
    <cellStyle name="Total" xfId="30" builtinId="25"/>
    <cellStyle name="Output" xfId="31" builtinId="21"/>
    <cellStyle name="Currency" xfId="32" builtinId="4"/>
    <cellStyle name="20% - Accent3" xfId="33" builtinId="38"/>
    <cellStyle name="Note" xfId="34" builtinId="10"/>
    <cellStyle name="Input" xfId="35" builtinId="20"/>
    <cellStyle name="Heading 4" xfId="36" builtinId="19"/>
    <cellStyle name="Calculation" xfId="37" builtinId="22"/>
    <cellStyle name="Good" xfId="38" builtinId="26"/>
    <cellStyle name="Heading 3" xfId="39" builtinId="18"/>
    <cellStyle name="CExplanatory Text" xfId="40" builtinId="53"/>
    <cellStyle name="60% - Accent3" xfId="41" builtinId="40"/>
    <cellStyle name="Currency[0]" xfId="42" builtinId="7"/>
    <cellStyle name="Heading 1" xfId="43" builtinId="16"/>
    <cellStyle name="20% - Accent6" xfId="44" builtinId="50"/>
    <cellStyle name="Title" xfId="45" builtinId="15"/>
    <cellStyle name="Warning Text" xfId="46" builtinId="11"/>
    <cellStyle name="Normal 3" xfId="47"/>
    <cellStyle name="20% - Accent1" xfId="48" builtinId="30"/>
    <cellStyle name="Hyperlink" xfId="49" builtinId="8"/>
    <cellStyle name="Followed Hyperlink" xfId="50" builtinId="9"/>
    <cellStyle name="Heading 2" xfId="51" builtinId="17"/>
    <cellStyle name="Comma" xfId="52" builtinId="3"/>
    <cellStyle name="Check Cell" xfId="53" builtinId="23"/>
    <cellStyle name="Percent" xfId="54" builtinId="5"/>
  </cellStyles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0" Type="http://schemas.microsoft.com/office/2006/relationships/vbaProject" Target="vbaProject.bin"/><Relationship Id="rId3" Type="http://schemas.openxmlformats.org/officeDocument/2006/relationships/worksheet" Target="worksheets/sheet3.xml"/><Relationship Id="rId29" Type="http://schemas.openxmlformats.org/officeDocument/2006/relationships/sharedStrings" Target="sharedStrings.xml"/><Relationship Id="rId28" Type="http://schemas.openxmlformats.org/officeDocument/2006/relationships/styles" Target="styles.xml"/><Relationship Id="rId27" Type="http://schemas.openxmlformats.org/officeDocument/2006/relationships/theme" Target="theme/theme1.xml"/><Relationship Id="rId26" Type="http://schemas.openxmlformats.org/officeDocument/2006/relationships/worksheet" Target="worksheets/sheet26.xml"/><Relationship Id="rId25" Type="http://schemas.openxmlformats.org/officeDocument/2006/relationships/worksheet" Target="worksheets/sheet25.xml"/><Relationship Id="rId24" Type="http://schemas.openxmlformats.org/officeDocument/2006/relationships/worksheet" Target="worksheets/sheet24.xml"/><Relationship Id="rId23" Type="http://schemas.openxmlformats.org/officeDocument/2006/relationships/worksheet" Target="worksheets/sheet23.xml"/><Relationship Id="rId22" Type="http://schemas.openxmlformats.org/officeDocument/2006/relationships/worksheet" Target="worksheets/sheet22.xml"/><Relationship Id="rId21" Type="http://schemas.openxmlformats.org/officeDocument/2006/relationships/worksheet" Target="worksheets/sheet21.xml"/><Relationship Id="rId20" Type="http://schemas.openxmlformats.org/officeDocument/2006/relationships/worksheet" Target="worksheets/sheet20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19.xml"/><Relationship Id="rId18" Type="http://schemas.openxmlformats.org/officeDocument/2006/relationships/worksheet" Target="worksheets/sheet18.xml"/><Relationship Id="rId17" Type="http://schemas.openxmlformats.org/officeDocument/2006/relationships/worksheet" Target="worksheets/sheet17.xml"/><Relationship Id="rId16" Type="http://schemas.openxmlformats.org/officeDocument/2006/relationships/worksheet" Target="worksheets/sheet16.xml"/><Relationship Id="rId15" Type="http://schemas.openxmlformats.org/officeDocument/2006/relationships/worksheet" Target="worksheets/sheet15.xml"/><Relationship Id="rId14" Type="http://schemas.openxmlformats.org/officeDocument/2006/relationships/worksheet" Target="worksheets/sheet14.xml"/><Relationship Id="rId13" Type="http://schemas.openxmlformats.org/officeDocument/2006/relationships/worksheet" Target="worksheets/sheet13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Button" val="0"/>
</file>

<file path=xl/ctrlProps/ctrlProp4.xml><?xml version="1.0" encoding="utf-8"?>
<formControlPr xmlns="http://schemas.microsoft.com/office/spreadsheetml/2009/9/main" objectType="Button" val="0"/>
</file>

<file path=xl/ctrlProps/ctrlProp5.xml><?xml version="1.0" encoding="utf-8"?>
<formControlPr xmlns="http://schemas.microsoft.com/office/spreadsheetml/2009/9/main" objectType="Button" val="0"/>
</file>

<file path=xl/ctrlProps/ctrlProp6.xml><?xml version="1.0" encoding="utf-8"?>
<formControlPr xmlns="http://schemas.microsoft.com/office/spreadsheetml/2009/9/main" objectType="Button" val="0"/>
</file>

<file path=xl/ctrlProps/ctrlProp7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0</xdr:rowOff>
        </xdr:from>
        <xdr:to>
          <xdr:col>16</xdr:col>
          <xdr:colOff>9525</xdr:colOff>
          <xdr:row>3</xdr:row>
          <xdr:rowOff>0</xdr:rowOff>
        </xdr:to>
        <xdr:sp macro="[0]!Button1_Click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9829800" y="171450"/>
              <a:ext cx="1209675" cy="3429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Tahoma" pitchFamily="2" charset="-34"/>
                  <a:ea typeface="Tahoma" pitchFamily="2" charset="-34"/>
                  <a:cs typeface="Tahoma" pitchFamily="2" charset="-34"/>
                  <a:sym typeface="Tahoma" pitchFamily="2" charset="-34"/>
                </a:rPr>
                <a:t>Create Charts</a:t>
              </a:r>
              <a:endParaRPr lang="zh-CN" altLang="en-US" sz="1000">
                <a:solidFill>
                  <a:srgbClr val="000000"/>
                </a:solidFill>
                <a:latin typeface="Tahoma" pitchFamily="2" charset="-34"/>
                <a:ea typeface="Tahoma" pitchFamily="2" charset="-34"/>
                <a:cs typeface="Tahoma" pitchFamily="2" charset="-34"/>
                <a:sym typeface="Tahoma" pitchFamily="2" charset="-3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2</xdr:row>
          <xdr:rowOff>28575</xdr:rowOff>
        </xdr:from>
        <xdr:to>
          <xdr:col>20</xdr:col>
          <xdr:colOff>457200</xdr:colOff>
          <xdr:row>3</xdr:row>
          <xdr:rowOff>152400</xdr:rowOff>
        </xdr:to>
        <xdr:sp macro="[0]!tpChart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12401550" y="371475"/>
              <a:ext cx="1619250" cy="2952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Tahoma" pitchFamily="2" charset="-34"/>
                  <a:ea typeface="Tahoma" pitchFamily="2" charset="-34"/>
                  <a:cs typeface="Tahoma" pitchFamily="2" charset="-34"/>
                  <a:sym typeface="Tahoma" pitchFamily="2" charset="-34"/>
                </a:rPr>
                <a:t>Create Chart</a:t>
              </a:r>
              <a:endParaRPr lang="zh-CN" altLang="en-US" sz="1000">
                <a:solidFill>
                  <a:srgbClr val="000000"/>
                </a:solidFill>
                <a:latin typeface="Tahoma" pitchFamily="2" charset="-34"/>
                <a:ea typeface="Tahoma" pitchFamily="2" charset="-34"/>
                <a:cs typeface="Tahoma" pitchFamily="2" charset="-34"/>
                <a:sym typeface="Tahoma" pitchFamily="2" charset="-34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38100</xdr:colOff>
          <xdr:row>5</xdr:row>
          <xdr:rowOff>133350</xdr:rowOff>
        </xdr:from>
        <xdr:to>
          <xdr:col>20</xdr:col>
          <xdr:colOff>476250</xdr:colOff>
          <xdr:row>7</xdr:row>
          <xdr:rowOff>47625</xdr:rowOff>
        </xdr:to>
        <xdr:sp macro="[0]!cell_styling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12401550" y="990600"/>
              <a:ext cx="1638300" cy="2571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Tahoma" pitchFamily="2" charset="-34"/>
                  <a:ea typeface="Tahoma" pitchFamily="2" charset="-34"/>
                  <a:cs typeface="Tahoma" pitchFamily="2" charset="-34"/>
                  <a:sym typeface="Tahoma" pitchFamily="2" charset="-34"/>
                </a:rPr>
                <a:t>Render Cells</a:t>
              </a:r>
              <a:endParaRPr lang="zh-CN" altLang="en-US" sz="1000">
                <a:solidFill>
                  <a:srgbClr val="000000"/>
                </a:solidFill>
                <a:latin typeface="Tahoma" pitchFamily="2" charset="-34"/>
                <a:ea typeface="Tahoma" pitchFamily="2" charset="-34"/>
                <a:cs typeface="Tahoma" pitchFamily="2" charset="-34"/>
                <a:sym typeface="Tahoma" pitchFamily="2" charset="-3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133350</xdr:rowOff>
        </xdr:from>
        <xdr:to>
          <xdr:col>21</xdr:col>
          <xdr:colOff>133350</xdr:colOff>
          <xdr:row>3</xdr:row>
          <xdr:rowOff>85725</xdr:rowOff>
        </xdr:to>
        <xdr:sp macro="[0]!eccCha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12963525" y="304800"/>
              <a:ext cx="1285875" cy="295275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Tahoma" pitchFamily="2" charset="-34"/>
                  <a:ea typeface="Tahoma" pitchFamily="2" charset="-34"/>
                  <a:cs typeface="Tahoma" pitchFamily="2" charset="-34"/>
                  <a:sym typeface="Tahoma" pitchFamily="2" charset="-34"/>
                </a:rPr>
                <a:t>Create Chart</a:t>
              </a:r>
              <a:endParaRPr lang="zh-CN" altLang="en-US" sz="1000">
                <a:solidFill>
                  <a:srgbClr val="000000"/>
                </a:solidFill>
                <a:latin typeface="Tahoma" pitchFamily="2" charset="-34"/>
                <a:ea typeface="Tahoma" pitchFamily="2" charset="-34"/>
                <a:cs typeface="Tahoma" pitchFamily="2" charset="-34"/>
                <a:sym typeface="Tahoma" pitchFamily="2" charset="-3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95250</xdr:colOff>
          <xdr:row>1</xdr:row>
          <xdr:rowOff>142875</xdr:rowOff>
        </xdr:from>
        <xdr:to>
          <xdr:col>21</xdr:col>
          <xdr:colOff>504825</xdr:colOff>
          <xdr:row>4</xdr:row>
          <xdr:rowOff>9525</xdr:rowOff>
        </xdr:to>
        <xdr:sp macro="[0]!filenetChart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13011150" y="314325"/>
              <a:ext cx="1609725" cy="3810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Tahoma" pitchFamily="2" charset="-34"/>
                  <a:ea typeface="Tahoma" pitchFamily="2" charset="-34"/>
                  <a:cs typeface="Tahoma" pitchFamily="2" charset="-34"/>
                  <a:sym typeface="Tahoma" pitchFamily="2" charset="-34"/>
                </a:rPr>
                <a:t>Create Chart</a:t>
              </a:r>
              <a:endParaRPr lang="zh-CN" altLang="en-US" sz="1000">
                <a:solidFill>
                  <a:srgbClr val="000000"/>
                </a:solidFill>
                <a:latin typeface="Tahoma" pitchFamily="2" charset="-34"/>
                <a:ea typeface="Tahoma" pitchFamily="2" charset="-34"/>
                <a:cs typeface="Tahoma" pitchFamily="2" charset="-34"/>
                <a:sym typeface="Tahoma" pitchFamily="2" charset="-3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390525</xdr:colOff>
          <xdr:row>2</xdr:row>
          <xdr:rowOff>0</xdr:rowOff>
        </xdr:from>
        <xdr:to>
          <xdr:col>21</xdr:col>
          <xdr:colOff>171450</xdr:colOff>
          <xdr:row>4</xdr:row>
          <xdr:rowOff>38100</xdr:rowOff>
        </xdr:to>
        <xdr:sp macro="[0]!sedsChart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12706350" y="342900"/>
              <a:ext cx="1581150" cy="3810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Tahoma" pitchFamily="2" charset="-34"/>
                  <a:ea typeface="Tahoma" pitchFamily="2" charset="-34"/>
                  <a:cs typeface="Tahoma" pitchFamily="2" charset="-34"/>
                  <a:sym typeface="Tahoma" pitchFamily="2" charset="-34"/>
                </a:rPr>
                <a:t>Create Chart</a:t>
              </a:r>
              <a:endParaRPr lang="zh-CN" altLang="en-US" sz="1000">
                <a:solidFill>
                  <a:srgbClr val="000000"/>
                </a:solidFill>
                <a:latin typeface="Tahoma" pitchFamily="2" charset="-34"/>
                <a:ea typeface="Tahoma" pitchFamily="2" charset="-34"/>
                <a:cs typeface="Tahoma" pitchFamily="2" charset="-34"/>
                <a:sym typeface="Tahoma" pitchFamily="2" charset="-34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533400</xdr:colOff>
          <xdr:row>2</xdr:row>
          <xdr:rowOff>38100</xdr:rowOff>
        </xdr:from>
        <xdr:to>
          <xdr:col>21</xdr:col>
          <xdr:colOff>419100</xdr:colOff>
          <xdr:row>4</xdr:row>
          <xdr:rowOff>76200</xdr:rowOff>
        </xdr:to>
        <xdr:sp macro="[0]!kofaxChart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12849225" y="381000"/>
              <a:ext cx="1685925" cy="381000"/>
            </a:xfrm>
            <a:prstGeom prst="rect">
              <a:avLst/>
            </a:prstGeom>
          </xdr:spPr>
          <xdr:txBody>
            <a:bodyPr vert="horz" wrap="square" anchor="ctr" upright="1"/>
            <a:p>
              <a:pPr algn="ctr" rtl="0"/>
              <a:r>
                <a:rPr lang="zh-CN" altLang="en-US" sz="1000">
                  <a:solidFill>
                    <a:srgbClr val="000000"/>
                  </a:solidFill>
                  <a:latin typeface="Tahoma" pitchFamily="2" charset="-34"/>
                  <a:ea typeface="Tahoma" pitchFamily="2" charset="-34"/>
                  <a:cs typeface="Tahoma" pitchFamily="2" charset="-34"/>
                  <a:sym typeface="Tahoma" pitchFamily="2" charset="-34"/>
                </a:rPr>
                <a:t>Create Chart</a:t>
              </a:r>
              <a:endParaRPr lang="zh-CN" altLang="en-US" sz="1000">
                <a:solidFill>
                  <a:srgbClr val="000000"/>
                </a:solidFill>
                <a:latin typeface="Tahoma" pitchFamily="2" charset="-34"/>
                <a:ea typeface="Tahoma" pitchFamily="2" charset="-34"/>
                <a:cs typeface="Tahoma" pitchFamily="2" charset="-34"/>
                <a:sym typeface="Tahoma" pitchFamily="2" charset="-34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1:R2" totalsRowShown="0">
  <autoFilter ref="A1:R2"/>
  <tableColumns count="18">
    <tableColumn id="1" name="Person Group Code"/>
    <tableColumn id="2" name="Owner Group Name"/>
    <tableColumn id="3" name="TicketID"/>
    <tableColumn id="4" name="Owner Name"/>
    <tableColumn id="5" name="Application Name"/>
    <tableColumn id="6" name="Configuration Item Description"/>
    <tableColumn id="7" name="Root Cause"/>
    <tableColumn id="8" name="Cause"/>
    <tableColumn id="9" name="Resolution"/>
    <tableColumn id="10" name="Status"/>
    <tableColumn id="11" name="Internal Priority"/>
    <tableColumn id="12" name="Project ID"/>
    <tableColumn id="13" name="Manual Proactive Flag"/>
    <tableColumn id="14" name="Related To Global Flag"/>
    <tableColumn id="15" name="Summary"/>
    <tableColumn id="16" name="Reported Date"/>
    <tableColumn id="17" name="Resolved Date"/>
    <tableColumn id="18" name="Time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1:R67" totalsRowShown="0">
  <autoFilter ref="A1:R67"/>
  <tableColumns count="18">
    <tableColumn id="1" name="Person Group Code"/>
    <tableColumn id="2" name="Owner Group Name"/>
    <tableColumn id="3" name="TicketID"/>
    <tableColumn id="4" name="Owner Name"/>
    <tableColumn id="5" name="Application Name"/>
    <tableColumn id="6" name="Configuration Item Description"/>
    <tableColumn id="7" name="Root Cause"/>
    <tableColumn id="8" name="Cause"/>
    <tableColumn id="9" name="Resolution"/>
    <tableColumn id="10" name="Status"/>
    <tableColumn id="11" name="Internal Priority"/>
    <tableColumn id="12" name="Project ID"/>
    <tableColumn id="13" name="Manual Proactive Flag"/>
    <tableColumn id="14" name="Related To Global Flag"/>
    <tableColumn id="15" name="Summary"/>
    <tableColumn id="16" name="Reported Date"/>
    <tableColumn id="17" name="Resolved Date"/>
    <tableColumn id="18" name="Tim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30303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.xml"/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B11:AD40"/>
  <sheetViews>
    <sheetView showGridLines="0" zoomScale="80" zoomScaleNormal="80" workbookViewId="0">
      <selection activeCell="AG57" sqref="AG57"/>
    </sheetView>
  </sheetViews>
  <sheetFormatPr defaultColWidth="9" defaultRowHeight="13.5"/>
  <cols>
    <col min="2" max="2" width="32.1428571428571" customWidth="1"/>
    <col min="3" max="26" width="12.7142857142857" customWidth="1"/>
  </cols>
  <sheetData>
    <row r="11" ht="12" customHeight="1"/>
    <row r="22" spans="29:29">
      <c r="AC22" s="57"/>
    </row>
    <row r="26" spans="2:21">
      <c r="B26" s="32"/>
      <c r="C26" s="57" t="s">
        <v>0</v>
      </c>
      <c r="I26" s="57" t="s">
        <v>1</v>
      </c>
      <c r="O26" s="57" t="s">
        <v>2</v>
      </c>
      <c r="U26" s="57" t="s">
        <v>3</v>
      </c>
    </row>
    <row r="27" spans="2:26">
      <c r="B27" s="32" t="s">
        <v>4</v>
      </c>
      <c r="C27" s="33" t="s">
        <v>5</v>
      </c>
      <c r="D27" s="33" t="s">
        <v>6</v>
      </c>
      <c r="E27" s="33" t="s">
        <v>7</v>
      </c>
      <c r="F27" s="33" t="s">
        <v>8</v>
      </c>
      <c r="G27" s="33" t="s">
        <v>9</v>
      </c>
      <c r="H27" s="33" t="s">
        <v>10</v>
      </c>
      <c r="I27" s="33" t="s">
        <v>5</v>
      </c>
      <c r="J27" s="33" t="s">
        <v>6</v>
      </c>
      <c r="K27" s="33" t="s">
        <v>7</v>
      </c>
      <c r="L27" s="33" t="s">
        <v>8</v>
      </c>
      <c r="M27" s="33" t="s">
        <v>9</v>
      </c>
      <c r="N27" s="33" t="s">
        <v>10</v>
      </c>
      <c r="O27" s="33" t="s">
        <v>5</v>
      </c>
      <c r="P27" s="33" t="s">
        <v>6</v>
      </c>
      <c r="Q27" s="33" t="s">
        <v>7</v>
      </c>
      <c r="R27" s="33" t="s">
        <v>8</v>
      </c>
      <c r="S27" s="33" t="s">
        <v>9</v>
      </c>
      <c r="T27" s="33" t="s">
        <v>10</v>
      </c>
      <c r="U27" s="33" t="s">
        <v>5</v>
      </c>
      <c r="V27" s="33" t="s">
        <v>6</v>
      </c>
      <c r="W27" s="33" t="s">
        <v>7</v>
      </c>
      <c r="X27" s="33" t="s">
        <v>8</v>
      </c>
      <c r="Y27" s="33" t="s">
        <v>9</v>
      </c>
      <c r="Z27" s="33" t="s">
        <v>10</v>
      </c>
    </row>
    <row r="28" spans="2:26">
      <c r="B28" s="27" t="s">
        <v>11</v>
      </c>
      <c r="C28" s="58">
        <v>1</v>
      </c>
      <c r="D28" s="58">
        <v>1</v>
      </c>
      <c r="E28" s="58">
        <v>2</v>
      </c>
      <c r="F28" s="58">
        <v>1</v>
      </c>
      <c r="G28" s="58">
        <v>0</v>
      </c>
      <c r="H28" s="58">
        <v>0</v>
      </c>
      <c r="I28" s="58">
        <v>0</v>
      </c>
      <c r="J28" s="29">
        <v>1</v>
      </c>
      <c r="K28" s="29">
        <v>0</v>
      </c>
      <c r="L28" s="29">
        <v>0</v>
      </c>
      <c r="M28" s="29">
        <v>0</v>
      </c>
      <c r="N28" s="58">
        <v>0</v>
      </c>
      <c r="O28" s="29">
        <v>1</v>
      </c>
      <c r="P28" s="29">
        <v>1</v>
      </c>
      <c r="Q28" s="29">
        <v>0</v>
      </c>
      <c r="R28" s="29">
        <v>0</v>
      </c>
      <c r="S28" s="29"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0</v>
      </c>
      <c r="Z28" s="29">
        <v>0</v>
      </c>
    </row>
    <row r="29" spans="2:26">
      <c r="B29" s="27" t="s">
        <v>12</v>
      </c>
      <c r="C29" s="58">
        <v>1</v>
      </c>
      <c r="D29" s="58">
        <v>1</v>
      </c>
      <c r="E29" s="58">
        <v>2</v>
      </c>
      <c r="F29" s="58">
        <v>1</v>
      </c>
      <c r="G29" s="58">
        <v>0</v>
      </c>
      <c r="H29" s="58">
        <v>0</v>
      </c>
      <c r="I29" s="58">
        <v>0</v>
      </c>
      <c r="J29" s="29">
        <v>1</v>
      </c>
      <c r="K29" s="29">
        <v>0</v>
      </c>
      <c r="L29" s="29">
        <v>0</v>
      </c>
      <c r="M29" s="29">
        <v>0</v>
      </c>
      <c r="N29" s="58">
        <v>0</v>
      </c>
      <c r="O29" s="29">
        <v>1</v>
      </c>
      <c r="P29" s="29">
        <v>1</v>
      </c>
      <c r="Q29" s="29">
        <v>0</v>
      </c>
      <c r="R29" s="29">
        <v>0</v>
      </c>
      <c r="S29" s="29">
        <v>0</v>
      </c>
      <c r="T29" s="29">
        <v>0</v>
      </c>
      <c r="U29" s="29">
        <v>0</v>
      </c>
      <c r="V29" s="29">
        <v>0</v>
      </c>
      <c r="W29" s="29">
        <v>0</v>
      </c>
      <c r="X29" s="29">
        <v>0</v>
      </c>
      <c r="Y29" s="29">
        <v>0</v>
      </c>
      <c r="Z29" s="29">
        <v>0</v>
      </c>
    </row>
    <row r="30" spans="2:26">
      <c r="B30" s="27" t="s">
        <v>13</v>
      </c>
      <c r="C30" s="59">
        <f>C29/C28</f>
        <v>1</v>
      </c>
      <c r="D30" s="59">
        <f>D29/D28</f>
        <v>1</v>
      </c>
      <c r="E30" s="60">
        <v>1</v>
      </c>
      <c r="F30" s="59">
        <v>0</v>
      </c>
      <c r="G30" s="59">
        <v>0</v>
      </c>
      <c r="H30" s="59">
        <v>0</v>
      </c>
      <c r="I30" s="59">
        <v>0</v>
      </c>
      <c r="J30" s="59">
        <f>J29/J28</f>
        <v>1</v>
      </c>
      <c r="K30" s="59">
        <v>0</v>
      </c>
      <c r="L30" s="59">
        <v>0</v>
      </c>
      <c r="M30" s="59">
        <v>0</v>
      </c>
      <c r="N30" s="59">
        <v>0</v>
      </c>
      <c r="O30" s="60">
        <v>1</v>
      </c>
      <c r="P30" s="60">
        <v>1</v>
      </c>
      <c r="Q30" s="59">
        <v>0</v>
      </c>
      <c r="R30" s="59">
        <v>0</v>
      </c>
      <c r="S30" s="59">
        <v>0</v>
      </c>
      <c r="T30" s="59">
        <v>0</v>
      </c>
      <c r="U30" s="59">
        <v>0</v>
      </c>
      <c r="V30" s="59">
        <v>0</v>
      </c>
      <c r="W30" s="59">
        <v>0</v>
      </c>
      <c r="X30" s="59">
        <v>0</v>
      </c>
      <c r="Y30" s="59">
        <v>0</v>
      </c>
      <c r="Z30" s="59">
        <v>1</v>
      </c>
    </row>
    <row r="34" ht="24" customHeight="1" spans="8:15">
      <c r="H34" s="61" t="s">
        <v>14</v>
      </c>
      <c r="I34" s="61" t="s">
        <v>12</v>
      </c>
      <c r="J34" s="61"/>
      <c r="K34" s="61"/>
      <c r="L34" s="61"/>
      <c r="M34" s="61"/>
      <c r="N34" s="61" t="s">
        <v>15</v>
      </c>
      <c r="O34" s="61" t="s">
        <v>16</v>
      </c>
    </row>
    <row r="35" spans="8:19">
      <c r="H35" s="62" t="s">
        <v>5</v>
      </c>
      <c r="I35" s="63">
        <v>2</v>
      </c>
      <c r="J35" s="63"/>
      <c r="K35" s="63"/>
      <c r="L35" s="63"/>
      <c r="M35" s="63"/>
      <c r="N35" s="63">
        <v>2</v>
      </c>
      <c r="O35" s="60">
        <v>1</v>
      </c>
      <c r="P35" s="64"/>
      <c r="Q35" s="64"/>
      <c r="R35" s="64"/>
      <c r="S35" s="64"/>
    </row>
    <row r="36" spans="8:19">
      <c r="H36" s="62" t="s">
        <v>6</v>
      </c>
      <c r="I36" s="63">
        <v>3</v>
      </c>
      <c r="J36" s="63"/>
      <c r="K36" s="63"/>
      <c r="L36" s="63"/>
      <c r="M36" s="63"/>
      <c r="N36" s="63">
        <v>3</v>
      </c>
      <c r="O36" s="60">
        <v>1</v>
      </c>
      <c r="P36" s="64"/>
      <c r="Q36" s="64"/>
      <c r="R36" s="64"/>
      <c r="S36" s="64"/>
    </row>
    <row r="37" spans="8:15">
      <c r="H37" s="62" t="s">
        <v>7</v>
      </c>
      <c r="I37" s="24">
        <v>2</v>
      </c>
      <c r="J37" s="22"/>
      <c r="K37" s="22"/>
      <c r="L37" s="22"/>
      <c r="M37" s="22"/>
      <c r="N37" s="24">
        <v>2</v>
      </c>
      <c r="O37" s="60">
        <v>1</v>
      </c>
    </row>
    <row r="38" spans="8:15">
      <c r="H38" s="62" t="s">
        <v>8</v>
      </c>
      <c r="I38" s="24">
        <v>1</v>
      </c>
      <c r="J38" s="22"/>
      <c r="K38" s="22"/>
      <c r="L38" s="22"/>
      <c r="M38" s="22"/>
      <c r="N38" s="24">
        <v>1</v>
      </c>
      <c r="O38" s="60">
        <v>1</v>
      </c>
    </row>
    <row r="39" spans="8:15">
      <c r="H39" s="62" t="s">
        <v>9</v>
      </c>
      <c r="I39" s="22"/>
      <c r="J39" s="22"/>
      <c r="K39" s="22"/>
      <c r="L39" s="22"/>
      <c r="M39" s="22"/>
      <c r="N39" s="22"/>
      <c r="O39" s="22"/>
    </row>
    <row r="40" spans="8:15">
      <c r="H40" s="62" t="s">
        <v>10</v>
      </c>
      <c r="I40" s="22"/>
      <c r="J40" s="22"/>
      <c r="K40" s="22"/>
      <c r="L40" s="22"/>
      <c r="M40" s="22"/>
      <c r="N40" s="22"/>
      <c r="O40" s="22"/>
    </row>
  </sheetData>
  <mergeCells count="5">
    <mergeCell ref="AC22:AD22"/>
    <mergeCell ref="C26:H26"/>
    <mergeCell ref="I26:N26"/>
    <mergeCell ref="O26:T26"/>
    <mergeCell ref="U26:Z26"/>
  </mergeCells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L65"/>
  <sheetViews>
    <sheetView workbookViewId="0">
      <selection activeCell="C2" sqref="C2"/>
    </sheetView>
  </sheetViews>
  <sheetFormatPr defaultColWidth="9" defaultRowHeight="13.5"/>
  <cols>
    <col min="1" max="1" width="10.5714285714286" customWidth="1"/>
    <col min="2" max="2" width="31.5714285714286" customWidth="1"/>
    <col min="3" max="3" width="9.14285714285714" style="34" customWidth="1"/>
    <col min="4" max="4" width="8.85714285714286" customWidth="1"/>
    <col min="5" max="5" width="38.4285714285714" customWidth="1"/>
    <col min="6" max="6" width="14.8571428571429" customWidth="1"/>
    <col min="7" max="7" width="19.5714285714286" customWidth="1"/>
    <col min="8" max="8" width="6" customWidth="1"/>
    <col min="9" max="9" width="8.71428571428571" customWidth="1"/>
    <col min="10" max="11" width="19.5714285714286" customWidth="1"/>
    <col min="12" max="12" width="9.14285714285714" style="50" customWidth="1"/>
  </cols>
  <sheetData>
    <row r="1" ht="14.25" customHeight="1" spans="1:12">
      <c r="A1" s="35" t="s">
        <v>17</v>
      </c>
      <c r="B1" s="35" t="s">
        <v>18</v>
      </c>
      <c r="C1" s="35" t="s">
        <v>19</v>
      </c>
      <c r="D1" s="35" t="s">
        <v>20</v>
      </c>
      <c r="E1" s="35" t="s">
        <v>21</v>
      </c>
      <c r="F1" s="35" t="s">
        <v>22</v>
      </c>
      <c r="G1" s="35" t="s">
        <v>23</v>
      </c>
      <c r="H1" s="35" t="s">
        <v>24</v>
      </c>
      <c r="I1" s="35" t="s">
        <v>25</v>
      </c>
      <c r="J1" s="35" t="s">
        <v>26</v>
      </c>
      <c r="K1" s="35" t="s">
        <v>27</v>
      </c>
      <c r="L1" s="35" t="s">
        <v>28</v>
      </c>
    </row>
    <row r="2" ht="14.25" customHeight="1" spans="1:12">
      <c r="A2" s="36"/>
      <c r="B2" s="36" t="s">
        <v>29</v>
      </c>
      <c r="C2" s="43" t="s">
        <v>8</v>
      </c>
      <c r="D2" s="37"/>
      <c r="E2" s="36" t="s">
        <v>30</v>
      </c>
      <c r="F2" s="36"/>
      <c r="G2" s="40">
        <v>42984.49869213</v>
      </c>
      <c r="H2" s="36" t="s">
        <v>31</v>
      </c>
      <c r="I2" s="37"/>
      <c r="J2" s="40">
        <v>43027.49861111</v>
      </c>
      <c r="K2" s="40">
        <v>42984.65445601</v>
      </c>
      <c r="L2" s="56">
        <f t="shared" ref="L2:L18" si="0">K2-G2</f>
        <v>0.15576388000045</v>
      </c>
    </row>
    <row r="3" ht="14.25" customHeight="1" spans="1:12">
      <c r="A3" s="36"/>
      <c r="B3" s="36" t="s">
        <v>32</v>
      </c>
      <c r="C3" s="43" t="s">
        <v>6</v>
      </c>
      <c r="D3" s="37"/>
      <c r="E3" s="36" t="s">
        <v>33</v>
      </c>
      <c r="F3" s="36"/>
      <c r="G3" s="40">
        <v>42984.62168981</v>
      </c>
      <c r="H3" s="36" t="s">
        <v>31</v>
      </c>
      <c r="I3" s="37"/>
      <c r="J3" s="40">
        <v>43027.62152777</v>
      </c>
      <c r="K3" s="40">
        <v>42991.07311342</v>
      </c>
      <c r="L3" s="56">
        <f t="shared" si="0"/>
        <v>6.45142361000035</v>
      </c>
    </row>
    <row r="4" ht="14.25" customHeight="1" spans="1:12">
      <c r="A4" s="36"/>
      <c r="B4" s="36" t="s">
        <v>32</v>
      </c>
      <c r="C4" s="43" t="s">
        <v>6</v>
      </c>
      <c r="D4" s="37"/>
      <c r="E4" s="36" t="s">
        <v>33</v>
      </c>
      <c r="F4" s="36"/>
      <c r="G4" s="40">
        <v>42984.63267361</v>
      </c>
      <c r="H4" s="36" t="s">
        <v>31</v>
      </c>
      <c r="I4" s="37"/>
      <c r="J4" s="40">
        <v>43027.63263888</v>
      </c>
      <c r="K4" s="40">
        <v>42991.08211805</v>
      </c>
      <c r="L4" s="56">
        <f t="shared" si="0"/>
        <v>6.44944443999702</v>
      </c>
    </row>
    <row r="5" s="50" customFormat="1" ht="14.25" customHeight="1" spans="1:12">
      <c r="A5" s="51"/>
      <c r="B5" s="51" t="s">
        <v>32</v>
      </c>
      <c r="C5" s="52" t="s">
        <v>7</v>
      </c>
      <c r="D5" s="53"/>
      <c r="E5" s="51" t="s">
        <v>34</v>
      </c>
      <c r="F5" s="51"/>
      <c r="G5" s="54">
        <v>42984.73603009</v>
      </c>
      <c r="H5" s="51" t="s">
        <v>35</v>
      </c>
      <c r="I5" s="53"/>
      <c r="J5" s="54">
        <v>43027.66666666</v>
      </c>
      <c r="K5" s="53"/>
      <c r="L5" s="56"/>
    </row>
    <row r="6" ht="14.25" customHeight="1" spans="1:12">
      <c r="A6" s="36"/>
      <c r="B6" s="36" t="s">
        <v>29</v>
      </c>
      <c r="C6" s="43" t="s">
        <v>6</v>
      </c>
      <c r="D6" s="37"/>
      <c r="E6" s="36" t="s">
        <v>33</v>
      </c>
      <c r="F6" s="36"/>
      <c r="G6" s="40">
        <v>42990.49966435</v>
      </c>
      <c r="H6" s="36" t="s">
        <v>31</v>
      </c>
      <c r="I6" s="37"/>
      <c r="J6" s="40">
        <v>43033.49930555</v>
      </c>
      <c r="K6" s="40">
        <v>42991.09981481</v>
      </c>
      <c r="L6" s="56">
        <f t="shared" si="0"/>
        <v>0.600150459998986</v>
      </c>
    </row>
    <row r="7" ht="14.25" customHeight="1" spans="1:12">
      <c r="A7" s="36"/>
      <c r="B7" s="36" t="s">
        <v>32</v>
      </c>
      <c r="C7" s="43" t="s">
        <v>6</v>
      </c>
      <c r="D7" s="37"/>
      <c r="E7" s="36" t="s">
        <v>33</v>
      </c>
      <c r="F7" s="36"/>
      <c r="G7" s="40">
        <v>42990.50226851</v>
      </c>
      <c r="H7" s="36" t="s">
        <v>31</v>
      </c>
      <c r="I7" s="37"/>
      <c r="J7" s="40">
        <v>43033.50208333</v>
      </c>
      <c r="K7" s="40">
        <v>42991.09027777</v>
      </c>
      <c r="L7" s="56">
        <f t="shared" si="0"/>
        <v>0.588009260005492</v>
      </c>
    </row>
    <row r="8" ht="14.25" customHeight="1" spans="1:12">
      <c r="A8" s="36"/>
      <c r="B8" s="36" t="s">
        <v>29</v>
      </c>
      <c r="C8" s="43" t="s">
        <v>8</v>
      </c>
      <c r="D8" s="37"/>
      <c r="E8" s="36" t="s">
        <v>30</v>
      </c>
      <c r="F8" s="36"/>
      <c r="G8" s="40">
        <v>42991.12259259</v>
      </c>
      <c r="H8" s="36" t="s">
        <v>31</v>
      </c>
      <c r="I8" s="37"/>
      <c r="J8" s="40">
        <v>43033.66666666</v>
      </c>
      <c r="K8" s="40">
        <v>42991.33467592</v>
      </c>
      <c r="L8" s="56">
        <f t="shared" si="0"/>
        <v>0.212083329999587</v>
      </c>
    </row>
    <row r="9" ht="14.25" customHeight="1" spans="1:12">
      <c r="A9" s="36"/>
      <c r="B9" s="36" t="s">
        <v>32</v>
      </c>
      <c r="C9" s="43" t="s">
        <v>6</v>
      </c>
      <c r="D9" s="37"/>
      <c r="E9" s="36" t="s">
        <v>33</v>
      </c>
      <c r="F9" s="36"/>
      <c r="G9" s="40">
        <v>42991.43011574</v>
      </c>
      <c r="H9" s="36" t="s">
        <v>31</v>
      </c>
      <c r="I9" s="37"/>
      <c r="J9" s="40">
        <v>43034.42986111</v>
      </c>
      <c r="K9" s="40">
        <v>42998.72658564</v>
      </c>
      <c r="L9" s="56">
        <f t="shared" si="0"/>
        <v>7.29646990000037</v>
      </c>
    </row>
    <row r="10" ht="14.25" customHeight="1" spans="1:12">
      <c r="A10" s="36"/>
      <c r="B10" s="36" t="s">
        <v>32</v>
      </c>
      <c r="C10" s="43" t="s">
        <v>6</v>
      </c>
      <c r="D10" s="37"/>
      <c r="E10" s="36" t="s">
        <v>34</v>
      </c>
      <c r="F10" s="36"/>
      <c r="G10" s="40">
        <v>42991.45758101</v>
      </c>
      <c r="H10" s="36" t="s">
        <v>31</v>
      </c>
      <c r="I10" s="37"/>
      <c r="J10" s="40">
        <v>43034.45694444</v>
      </c>
      <c r="K10" s="40">
        <v>43003.34993055</v>
      </c>
      <c r="L10" s="56">
        <f t="shared" si="0"/>
        <v>11.8923495400013</v>
      </c>
    </row>
    <row r="11" ht="14.25" customHeight="1" spans="1:12">
      <c r="A11" s="36"/>
      <c r="B11" s="36" t="s">
        <v>32</v>
      </c>
      <c r="C11" s="43" t="s">
        <v>6</v>
      </c>
      <c r="D11" s="37"/>
      <c r="E11" s="36" t="s">
        <v>34</v>
      </c>
      <c r="F11" s="36"/>
      <c r="G11" s="40">
        <v>42991.45842592</v>
      </c>
      <c r="H11" s="36" t="s">
        <v>31</v>
      </c>
      <c r="I11" s="37"/>
      <c r="J11" s="40">
        <v>43034.45833333</v>
      </c>
      <c r="K11" s="40">
        <v>43003.34864583</v>
      </c>
      <c r="L11" s="56">
        <f t="shared" si="0"/>
        <v>11.8902199100048</v>
      </c>
    </row>
    <row r="12" ht="14.25" customHeight="1" spans="1:12">
      <c r="A12" s="36"/>
      <c r="B12" s="36" t="s">
        <v>32</v>
      </c>
      <c r="C12" s="43" t="s">
        <v>6</v>
      </c>
      <c r="D12" s="37"/>
      <c r="E12" s="36" t="s">
        <v>34</v>
      </c>
      <c r="F12" s="36"/>
      <c r="G12" s="40">
        <v>42991.45949074</v>
      </c>
      <c r="H12" s="36" t="s">
        <v>31</v>
      </c>
      <c r="I12" s="37"/>
      <c r="J12" s="40">
        <v>43034.45902777</v>
      </c>
      <c r="K12" s="40">
        <v>43003.34907407</v>
      </c>
      <c r="L12" s="56">
        <f t="shared" si="0"/>
        <v>11.8895833299975</v>
      </c>
    </row>
    <row r="13" ht="14.25" customHeight="1" spans="1:12">
      <c r="A13" s="36"/>
      <c r="B13" s="36" t="s">
        <v>32</v>
      </c>
      <c r="C13" s="43" t="s">
        <v>6</v>
      </c>
      <c r="D13" s="37"/>
      <c r="E13" s="36" t="s">
        <v>34</v>
      </c>
      <c r="F13" s="36"/>
      <c r="G13" s="40">
        <v>42991.46005787</v>
      </c>
      <c r="H13" s="36" t="s">
        <v>31</v>
      </c>
      <c r="I13" s="37"/>
      <c r="J13" s="40">
        <v>43034.45972222</v>
      </c>
      <c r="K13" s="40">
        <v>43003.35260416</v>
      </c>
      <c r="L13" s="56">
        <f t="shared" si="0"/>
        <v>11.8925462900006</v>
      </c>
    </row>
    <row r="14" ht="14.25" customHeight="1" spans="1:12">
      <c r="A14" s="36"/>
      <c r="B14" s="36" t="s">
        <v>32</v>
      </c>
      <c r="C14" s="43" t="s">
        <v>7</v>
      </c>
      <c r="D14" s="37"/>
      <c r="E14" s="36" t="s">
        <v>36</v>
      </c>
      <c r="F14" s="36"/>
      <c r="G14" s="40">
        <v>42991.57075231</v>
      </c>
      <c r="H14" s="36" t="s">
        <v>31</v>
      </c>
      <c r="I14" s="37"/>
      <c r="J14" s="40">
        <v>43034.57013888</v>
      </c>
      <c r="K14" s="40">
        <v>43000.38107638</v>
      </c>
      <c r="L14" s="56">
        <f t="shared" si="0"/>
        <v>8.81032407000021</v>
      </c>
    </row>
    <row r="15" ht="14.25" customHeight="1" spans="1:12">
      <c r="A15" s="36"/>
      <c r="B15" s="36" t="s">
        <v>32</v>
      </c>
      <c r="C15" s="43" t="s">
        <v>6</v>
      </c>
      <c r="D15" s="37"/>
      <c r="E15" s="36" t="s">
        <v>33</v>
      </c>
      <c r="F15" s="36"/>
      <c r="G15" s="40">
        <v>42991.64304398</v>
      </c>
      <c r="H15" s="36" t="s">
        <v>31</v>
      </c>
      <c r="I15" s="37"/>
      <c r="J15" s="40">
        <v>43034.64236111</v>
      </c>
      <c r="K15" s="40">
        <v>42997.4100694444</v>
      </c>
      <c r="L15" s="56">
        <f t="shared" si="0"/>
        <v>5.76702546439628</v>
      </c>
    </row>
    <row r="16" ht="14.25" customHeight="1" spans="1:12">
      <c r="A16" s="36"/>
      <c r="B16" s="36" t="s">
        <v>29</v>
      </c>
      <c r="C16" s="43" t="s">
        <v>9</v>
      </c>
      <c r="D16" s="37"/>
      <c r="E16" s="36" t="s">
        <v>37</v>
      </c>
      <c r="F16" s="36"/>
      <c r="G16" s="40">
        <v>42992.134375</v>
      </c>
      <c r="H16" s="36" t="s">
        <v>31</v>
      </c>
      <c r="I16" s="37"/>
      <c r="J16" s="40">
        <v>42992.66666666</v>
      </c>
      <c r="K16" s="40">
        <v>42992.23295138</v>
      </c>
      <c r="L16" s="56">
        <f t="shared" si="0"/>
        <v>0.0985763799981214</v>
      </c>
    </row>
    <row r="17" ht="14.25" customHeight="1" spans="1:12">
      <c r="A17" s="36"/>
      <c r="B17" s="36" t="s">
        <v>29</v>
      </c>
      <c r="C17" s="43" t="s">
        <v>5</v>
      </c>
      <c r="D17" s="37"/>
      <c r="E17" s="36" t="s">
        <v>30</v>
      </c>
      <c r="F17" s="36"/>
      <c r="G17" s="40">
        <v>42992.58171296</v>
      </c>
      <c r="H17" s="36" t="s">
        <v>31</v>
      </c>
      <c r="I17" s="37"/>
      <c r="J17" s="40">
        <v>43035.58125</v>
      </c>
      <c r="K17" s="40">
        <v>42992.58265046</v>
      </c>
      <c r="L17" s="56">
        <f t="shared" si="0"/>
        <v>0.000937500000873115</v>
      </c>
    </row>
    <row r="18" ht="14.25" customHeight="1" spans="1:12">
      <c r="A18" s="36"/>
      <c r="B18" s="36" t="s">
        <v>32</v>
      </c>
      <c r="C18" s="43" t="s">
        <v>6</v>
      </c>
      <c r="D18" s="37"/>
      <c r="E18" s="36" t="s">
        <v>33</v>
      </c>
      <c r="F18" s="36"/>
      <c r="G18" s="40">
        <v>42992.61395833</v>
      </c>
      <c r="H18" s="36" t="s">
        <v>31</v>
      </c>
      <c r="I18" s="37"/>
      <c r="J18" s="40">
        <v>43035.61388888</v>
      </c>
      <c r="K18" s="40">
        <v>42999.25319444</v>
      </c>
      <c r="L18" s="56">
        <f t="shared" si="0"/>
        <v>6.63923611000064</v>
      </c>
    </row>
    <row r="19" ht="14.25" customHeight="1" spans="1:12">
      <c r="A19" s="36"/>
      <c r="B19" s="36" t="s">
        <v>29</v>
      </c>
      <c r="C19" s="43" t="s">
        <v>7</v>
      </c>
      <c r="D19" s="37"/>
      <c r="E19" s="36" t="s">
        <v>30</v>
      </c>
      <c r="F19" s="36"/>
      <c r="G19" s="40">
        <v>42992.71556713</v>
      </c>
      <c r="H19" s="36" t="s">
        <v>35</v>
      </c>
      <c r="I19" s="37"/>
      <c r="J19" s="40">
        <v>43035.66666666</v>
      </c>
      <c r="K19" s="37"/>
      <c r="L19" s="56"/>
    </row>
    <row r="20" ht="14.25" customHeight="1" spans="1:12">
      <c r="A20" s="36"/>
      <c r="B20" s="36" t="s">
        <v>29</v>
      </c>
      <c r="C20" s="43" t="s">
        <v>9</v>
      </c>
      <c r="D20" s="37"/>
      <c r="E20" s="36" t="s">
        <v>30</v>
      </c>
      <c r="F20" s="36"/>
      <c r="G20" s="40">
        <v>42996.42741898</v>
      </c>
      <c r="H20" s="36" t="s">
        <v>31</v>
      </c>
      <c r="I20" s="37"/>
      <c r="J20" s="40">
        <v>43039.42708333</v>
      </c>
      <c r="K20" s="40">
        <v>42996.4312037</v>
      </c>
      <c r="L20" s="56">
        <f t="shared" ref="L20:L31" si="1">K20-G20</f>
        <v>0.00378472000011243</v>
      </c>
    </row>
    <row r="21" ht="14.25" customHeight="1" spans="1:12">
      <c r="A21" s="36"/>
      <c r="B21" s="36" t="s">
        <v>32</v>
      </c>
      <c r="C21" s="43" t="s">
        <v>6</v>
      </c>
      <c r="D21" s="37"/>
      <c r="E21" s="36" t="s">
        <v>34</v>
      </c>
      <c r="F21" s="36"/>
      <c r="G21" s="40">
        <v>42997.40785879</v>
      </c>
      <c r="H21" s="36" t="s">
        <v>31</v>
      </c>
      <c r="I21" s="37"/>
      <c r="J21" s="40">
        <v>43040.40763888</v>
      </c>
      <c r="K21" s="40">
        <v>43006.52461805</v>
      </c>
      <c r="L21" s="56">
        <f t="shared" si="1"/>
        <v>9.11675926000316</v>
      </c>
    </row>
    <row r="22" ht="14.25" customHeight="1" spans="1:12">
      <c r="A22" s="36"/>
      <c r="B22" s="36" t="s">
        <v>32</v>
      </c>
      <c r="C22" s="43" t="s">
        <v>6</v>
      </c>
      <c r="D22" s="37"/>
      <c r="E22" s="36" t="s">
        <v>33</v>
      </c>
      <c r="F22" s="36"/>
      <c r="G22" s="40">
        <v>42997.43297453</v>
      </c>
      <c r="H22" s="36" t="s">
        <v>31</v>
      </c>
      <c r="I22" s="37"/>
      <c r="J22" s="40">
        <v>43040.43263888</v>
      </c>
      <c r="K22" s="40">
        <v>42999.27453703</v>
      </c>
      <c r="L22" s="56">
        <f t="shared" si="1"/>
        <v>1.84156250000524</v>
      </c>
    </row>
    <row r="23" ht="14.25" customHeight="1" spans="1:12">
      <c r="A23" s="36"/>
      <c r="B23" s="36" t="s">
        <v>32</v>
      </c>
      <c r="C23" s="43" t="s">
        <v>6</v>
      </c>
      <c r="D23" s="37"/>
      <c r="E23" s="36" t="s">
        <v>34</v>
      </c>
      <c r="F23" s="36"/>
      <c r="G23" s="40">
        <v>42997.43436342</v>
      </c>
      <c r="H23" s="36" t="s">
        <v>31</v>
      </c>
      <c r="I23" s="37"/>
      <c r="J23" s="40">
        <v>43040.43402777</v>
      </c>
      <c r="K23" s="40">
        <v>43005.4099537</v>
      </c>
      <c r="L23" s="56">
        <f t="shared" si="1"/>
        <v>7.97559028000251</v>
      </c>
    </row>
    <row r="24" ht="14.25" customHeight="1" spans="1:12">
      <c r="A24" s="36"/>
      <c r="B24" s="36" t="s">
        <v>29</v>
      </c>
      <c r="C24" s="43" t="s">
        <v>8</v>
      </c>
      <c r="D24" s="37"/>
      <c r="E24" s="36" t="s">
        <v>30</v>
      </c>
      <c r="F24" s="36"/>
      <c r="G24" s="40">
        <v>42997.70829861</v>
      </c>
      <c r="H24" s="36" t="s">
        <v>31</v>
      </c>
      <c r="I24" s="37"/>
      <c r="J24" s="40">
        <v>43040.66666666</v>
      </c>
      <c r="K24" s="40">
        <v>42997.71211805</v>
      </c>
      <c r="L24" s="56">
        <f t="shared" si="1"/>
        <v>0.00381944000400836</v>
      </c>
    </row>
    <row r="25" ht="14.25" customHeight="1" spans="1:12">
      <c r="A25" s="36"/>
      <c r="B25" s="36" t="s">
        <v>32</v>
      </c>
      <c r="C25" s="43" t="s">
        <v>6</v>
      </c>
      <c r="D25" s="37"/>
      <c r="E25" s="36" t="s">
        <v>33</v>
      </c>
      <c r="F25" s="36"/>
      <c r="G25" s="40">
        <v>42998.70952546</v>
      </c>
      <c r="H25" s="36" t="s">
        <v>31</v>
      </c>
      <c r="I25" s="37"/>
      <c r="J25" s="40">
        <v>43041.66666666</v>
      </c>
      <c r="K25" s="40">
        <v>42999.26407407</v>
      </c>
      <c r="L25" s="56">
        <f t="shared" si="1"/>
        <v>0.554548610001802</v>
      </c>
    </row>
    <row r="26" ht="14.25" customHeight="1" spans="1:12">
      <c r="A26" s="36"/>
      <c r="B26" s="36" t="s">
        <v>32</v>
      </c>
      <c r="C26" s="43" t="s">
        <v>6</v>
      </c>
      <c r="D26" s="37"/>
      <c r="E26" s="36" t="s">
        <v>34</v>
      </c>
      <c r="F26" s="36"/>
      <c r="G26" s="40">
        <v>42998.71736111</v>
      </c>
      <c r="H26" s="36" t="s">
        <v>31</v>
      </c>
      <c r="I26" s="37"/>
      <c r="J26" s="40">
        <v>43041.66666666</v>
      </c>
      <c r="K26" s="40">
        <v>42998.71888888</v>
      </c>
      <c r="L26" s="56">
        <f t="shared" si="1"/>
        <v>0.0015277700003935</v>
      </c>
    </row>
    <row r="27" ht="14.25" customHeight="1" spans="1:12">
      <c r="A27" s="36"/>
      <c r="B27" s="36" t="s">
        <v>32</v>
      </c>
      <c r="C27" s="43" t="s">
        <v>7</v>
      </c>
      <c r="D27" s="37"/>
      <c r="E27" s="36" t="s">
        <v>36</v>
      </c>
      <c r="F27" s="36"/>
      <c r="G27" s="40">
        <v>42999.71694444</v>
      </c>
      <c r="H27" s="36" t="s">
        <v>31</v>
      </c>
      <c r="I27" s="37"/>
      <c r="J27" s="40">
        <v>43042.66666666</v>
      </c>
      <c r="K27" s="40">
        <v>43004.44637731</v>
      </c>
      <c r="L27" s="56">
        <f t="shared" si="1"/>
        <v>4.72943287000089</v>
      </c>
    </row>
    <row r="28" ht="14.25" customHeight="1" spans="1:12">
      <c r="A28" s="36"/>
      <c r="B28" s="36" t="s">
        <v>32</v>
      </c>
      <c r="C28" s="43" t="s">
        <v>6</v>
      </c>
      <c r="D28" s="37"/>
      <c r="E28" s="36" t="s">
        <v>34</v>
      </c>
      <c r="F28" s="36"/>
      <c r="G28" s="40">
        <v>43000.44048611</v>
      </c>
      <c r="H28" s="36" t="s">
        <v>31</v>
      </c>
      <c r="I28" s="37"/>
      <c r="J28" s="40">
        <v>43045.44027777</v>
      </c>
      <c r="K28" s="40">
        <v>43000.52738425</v>
      </c>
      <c r="L28" s="56">
        <f t="shared" si="1"/>
        <v>0.0868981400053599</v>
      </c>
    </row>
    <row r="29" ht="14.25" customHeight="1" spans="1:12">
      <c r="A29" s="36"/>
      <c r="B29" s="36" t="s">
        <v>32</v>
      </c>
      <c r="C29" s="43" t="s">
        <v>6</v>
      </c>
      <c r="D29" s="37"/>
      <c r="E29" s="36" t="s">
        <v>34</v>
      </c>
      <c r="F29" s="36"/>
      <c r="G29" s="40">
        <v>43000.57032407</v>
      </c>
      <c r="H29" s="36" t="s">
        <v>31</v>
      </c>
      <c r="I29" s="37"/>
      <c r="J29" s="40">
        <v>43045.57013888</v>
      </c>
      <c r="K29" s="40">
        <v>43000.57129629</v>
      </c>
      <c r="L29" s="56">
        <f t="shared" si="1"/>
        <v>0.000972219997493085</v>
      </c>
    </row>
    <row r="30" ht="14.25" customHeight="1" spans="1:12">
      <c r="A30" s="36"/>
      <c r="B30" s="36" t="s">
        <v>32</v>
      </c>
      <c r="C30" s="43" t="s">
        <v>6</v>
      </c>
      <c r="D30" s="37"/>
      <c r="E30" s="36" t="s">
        <v>34</v>
      </c>
      <c r="F30" s="36"/>
      <c r="G30" s="40">
        <v>43000.57630787</v>
      </c>
      <c r="H30" s="36" t="s">
        <v>31</v>
      </c>
      <c r="I30" s="37"/>
      <c r="J30" s="40">
        <v>43045.57569444</v>
      </c>
      <c r="K30" s="40">
        <v>43000.59425925</v>
      </c>
      <c r="L30" s="56">
        <f t="shared" si="1"/>
        <v>0.0179513800030691</v>
      </c>
    </row>
    <row r="31" ht="14.25" customHeight="1" spans="1:12">
      <c r="A31" s="36"/>
      <c r="B31" s="36" t="s">
        <v>32</v>
      </c>
      <c r="C31" s="43" t="s">
        <v>6</v>
      </c>
      <c r="D31" s="37"/>
      <c r="E31" s="36" t="s">
        <v>33</v>
      </c>
      <c r="F31" s="36"/>
      <c r="G31" s="40">
        <v>43000.60067129</v>
      </c>
      <c r="H31" s="36" t="s">
        <v>31</v>
      </c>
      <c r="I31" s="37"/>
      <c r="J31" s="40">
        <v>43045.6</v>
      </c>
      <c r="K31" s="40">
        <v>43005.25733796</v>
      </c>
      <c r="L31" s="56">
        <f t="shared" si="1"/>
        <v>4.65666667000187</v>
      </c>
    </row>
    <row r="32" ht="14.25" customHeight="1" spans="1:12">
      <c r="A32" s="51"/>
      <c r="B32" s="36" t="s">
        <v>32</v>
      </c>
      <c r="C32" s="43" t="s">
        <v>6</v>
      </c>
      <c r="D32" s="37"/>
      <c r="E32" s="36" t="s">
        <v>34</v>
      </c>
      <c r="F32" s="36"/>
      <c r="G32" s="40">
        <v>43000.63476851</v>
      </c>
      <c r="H32" s="36" t="s">
        <v>38</v>
      </c>
      <c r="I32" s="37"/>
      <c r="J32" s="40">
        <v>43045.63472222</v>
      </c>
      <c r="K32" s="37"/>
      <c r="L32" s="56"/>
    </row>
    <row r="33" ht="14.25" customHeight="1" spans="1:12">
      <c r="A33" s="36"/>
      <c r="B33" s="36" t="s">
        <v>29</v>
      </c>
      <c r="C33" s="43" t="s">
        <v>5</v>
      </c>
      <c r="D33" s="37"/>
      <c r="E33" s="36" t="s">
        <v>30</v>
      </c>
      <c r="F33" s="36"/>
      <c r="G33" s="40">
        <v>43002.60071759</v>
      </c>
      <c r="H33" s="36" t="s">
        <v>31</v>
      </c>
      <c r="I33" s="37"/>
      <c r="J33" s="40">
        <v>43045.66666666</v>
      </c>
      <c r="K33" s="40">
        <v>43003.35657407</v>
      </c>
      <c r="L33" s="56">
        <f t="shared" ref="L33:L36" si="2">K33-G33</f>
        <v>0.755856479998329</v>
      </c>
    </row>
    <row r="34" ht="14.25" customHeight="1" spans="1:12">
      <c r="A34" s="51"/>
      <c r="B34" s="36" t="s">
        <v>32</v>
      </c>
      <c r="C34" s="43" t="s">
        <v>6</v>
      </c>
      <c r="D34" s="37"/>
      <c r="E34" s="36" t="s">
        <v>33</v>
      </c>
      <c r="F34" s="36"/>
      <c r="G34" s="40">
        <v>43003.58675925</v>
      </c>
      <c r="H34" s="36" t="s">
        <v>38</v>
      </c>
      <c r="I34" s="37"/>
      <c r="J34" s="40">
        <v>43046.58611111</v>
      </c>
      <c r="K34" s="37"/>
      <c r="L34" s="56"/>
    </row>
    <row r="35" ht="14.25" customHeight="1" spans="1:12">
      <c r="A35" s="36"/>
      <c r="B35" s="36" t="s">
        <v>32</v>
      </c>
      <c r="C35" s="43" t="s">
        <v>6</v>
      </c>
      <c r="D35" s="37"/>
      <c r="E35" s="36" t="s">
        <v>34</v>
      </c>
      <c r="F35" s="36"/>
      <c r="G35" s="40">
        <v>43004.42436342</v>
      </c>
      <c r="H35" s="36" t="s">
        <v>31</v>
      </c>
      <c r="I35" s="37"/>
      <c r="J35" s="40">
        <v>43047.42430555</v>
      </c>
      <c r="K35" s="40">
        <v>43006.47550925</v>
      </c>
      <c r="L35" s="56">
        <f t="shared" si="2"/>
        <v>2.05114582999522</v>
      </c>
    </row>
    <row r="36" ht="14.25" customHeight="1" spans="1:12">
      <c r="A36" s="36"/>
      <c r="B36" s="36" t="s">
        <v>32</v>
      </c>
      <c r="C36" s="43" t="s">
        <v>6</v>
      </c>
      <c r="D36" s="37"/>
      <c r="E36" s="36" t="s">
        <v>33</v>
      </c>
      <c r="F36" s="36"/>
      <c r="G36" s="40">
        <v>43004.4539699</v>
      </c>
      <c r="H36" s="36" t="s">
        <v>31</v>
      </c>
      <c r="I36" s="37"/>
      <c r="J36" s="40">
        <v>43047.45347222</v>
      </c>
      <c r="K36" s="40">
        <v>43004.47806713</v>
      </c>
      <c r="L36" s="56">
        <f t="shared" si="2"/>
        <v>0.0240972300016438</v>
      </c>
    </row>
    <row r="37" ht="14.25" customHeight="1" spans="1:12">
      <c r="A37" s="51"/>
      <c r="B37" s="36" t="s">
        <v>32</v>
      </c>
      <c r="C37" s="43" t="s">
        <v>7</v>
      </c>
      <c r="D37" s="37"/>
      <c r="E37" s="36" t="s">
        <v>36</v>
      </c>
      <c r="F37" s="36"/>
      <c r="G37" s="40">
        <v>43004.48210648</v>
      </c>
      <c r="H37" s="36" t="s">
        <v>38</v>
      </c>
      <c r="I37" s="37"/>
      <c r="J37" s="40">
        <v>43047.48194444</v>
      </c>
      <c r="K37" s="37"/>
      <c r="L37" s="56"/>
    </row>
    <row r="38" ht="14.25" customHeight="1" spans="1:12">
      <c r="A38" s="51"/>
      <c r="B38" s="36" t="s">
        <v>32</v>
      </c>
      <c r="C38" s="43" t="s">
        <v>6</v>
      </c>
      <c r="D38" s="37"/>
      <c r="E38" s="36" t="s">
        <v>34</v>
      </c>
      <c r="F38" s="36"/>
      <c r="G38" s="40">
        <v>43005.3558912</v>
      </c>
      <c r="H38" s="36" t="s">
        <v>38</v>
      </c>
      <c r="I38" s="37"/>
      <c r="J38" s="40">
        <v>43048.35555555</v>
      </c>
      <c r="K38" s="37"/>
      <c r="L38" s="56"/>
    </row>
    <row r="39" ht="14.25" customHeight="1" spans="1:12">
      <c r="A39" s="51"/>
      <c r="B39" s="36" t="s">
        <v>32</v>
      </c>
      <c r="C39" s="43" t="s">
        <v>6</v>
      </c>
      <c r="D39" s="37"/>
      <c r="E39" s="36" t="s">
        <v>34</v>
      </c>
      <c r="F39" s="36"/>
      <c r="G39" s="40">
        <v>43005.36148148</v>
      </c>
      <c r="H39" s="36" t="s">
        <v>38</v>
      </c>
      <c r="I39" s="37"/>
      <c r="J39" s="40">
        <v>43048.36111111</v>
      </c>
      <c r="K39" s="37"/>
      <c r="L39" s="56"/>
    </row>
    <row r="40" ht="14.25" customHeight="1" spans="1:12">
      <c r="A40" s="51"/>
      <c r="B40" s="36" t="s">
        <v>32</v>
      </c>
      <c r="C40" s="43" t="s">
        <v>6</v>
      </c>
      <c r="D40" s="37"/>
      <c r="E40" s="36" t="s">
        <v>33</v>
      </c>
      <c r="F40" s="36"/>
      <c r="G40" s="40">
        <v>43005.49690972</v>
      </c>
      <c r="H40" s="36" t="s">
        <v>38</v>
      </c>
      <c r="I40" s="37"/>
      <c r="J40" s="40">
        <v>43048.49652777</v>
      </c>
      <c r="K40" s="37"/>
      <c r="L40" s="56"/>
    </row>
    <row r="41" ht="14.25" customHeight="1" spans="1:12">
      <c r="A41" s="51"/>
      <c r="B41" s="36" t="s">
        <v>32</v>
      </c>
      <c r="C41" s="43" t="s">
        <v>6</v>
      </c>
      <c r="D41" s="37"/>
      <c r="E41" s="36" t="s">
        <v>34</v>
      </c>
      <c r="F41" s="36"/>
      <c r="G41" s="40">
        <v>43006.39231481</v>
      </c>
      <c r="H41" s="36" t="s">
        <v>38</v>
      </c>
      <c r="I41" s="37"/>
      <c r="J41" s="40">
        <v>43049.39166666</v>
      </c>
      <c r="K41" s="37"/>
      <c r="L41" s="56"/>
    </row>
    <row r="42" ht="14.25" customHeight="1" spans="1:12">
      <c r="A42" s="36"/>
      <c r="B42" s="36" t="s">
        <v>29</v>
      </c>
      <c r="C42" s="43" t="s">
        <v>9</v>
      </c>
      <c r="D42" s="37"/>
      <c r="E42" s="36" t="s">
        <v>30</v>
      </c>
      <c r="F42" s="36"/>
      <c r="G42" s="40">
        <v>43006.42298611</v>
      </c>
      <c r="H42" s="36" t="s">
        <v>31</v>
      </c>
      <c r="I42" s="37"/>
      <c r="J42" s="40">
        <v>43049.42291666</v>
      </c>
      <c r="K42" s="40">
        <v>43006.60759259</v>
      </c>
      <c r="L42" s="56">
        <f t="shared" ref="L42:L65" si="3">K42-G42</f>
        <v>0.184606479997456</v>
      </c>
    </row>
    <row r="43" ht="14.25" customHeight="1" spans="1:12">
      <c r="A43" s="51"/>
      <c r="B43" s="36" t="s">
        <v>32</v>
      </c>
      <c r="C43" s="43" t="s">
        <v>6</v>
      </c>
      <c r="D43" s="37"/>
      <c r="E43" s="36" t="s">
        <v>33</v>
      </c>
      <c r="F43" s="36"/>
      <c r="G43" s="40">
        <v>43006.55797453</v>
      </c>
      <c r="H43" s="36" t="s">
        <v>38</v>
      </c>
      <c r="I43" s="37"/>
      <c r="J43" s="40">
        <v>43049.55763888</v>
      </c>
      <c r="K43" s="37"/>
      <c r="L43" s="56"/>
    </row>
    <row r="44" ht="14.25" customHeight="1" spans="1:12">
      <c r="A44" s="36"/>
      <c r="B44" s="36" t="s">
        <v>32</v>
      </c>
      <c r="C44" s="43" t="s">
        <v>6</v>
      </c>
      <c r="D44" s="37"/>
      <c r="E44" s="36" t="s">
        <v>33</v>
      </c>
      <c r="F44" s="36"/>
      <c r="G44" s="40">
        <v>43007.35020833</v>
      </c>
      <c r="H44" s="36" t="s">
        <v>38</v>
      </c>
      <c r="I44" s="37"/>
      <c r="J44" s="40">
        <v>43052.35</v>
      </c>
      <c r="K44" s="37"/>
      <c r="L44" s="56"/>
    </row>
    <row r="45" ht="14.25" customHeight="1" spans="1:12">
      <c r="A45" s="36"/>
      <c r="B45" s="36" t="s">
        <v>29</v>
      </c>
      <c r="C45" s="43" t="s">
        <v>5</v>
      </c>
      <c r="D45" s="37"/>
      <c r="E45" s="36" t="s">
        <v>30</v>
      </c>
      <c r="F45" s="36"/>
      <c r="G45" s="40">
        <v>43007.65340277</v>
      </c>
      <c r="H45" s="36" t="s">
        <v>31</v>
      </c>
      <c r="I45" s="37"/>
      <c r="J45" s="40">
        <v>43052.65277777</v>
      </c>
      <c r="K45" s="40">
        <v>43007.65491898</v>
      </c>
      <c r="L45" s="56">
        <f t="shared" si="3"/>
        <v>0.00151620999531588</v>
      </c>
    </row>
    <row r="46" ht="14.25" customHeight="1" spans="1:12">
      <c r="A46" s="36"/>
      <c r="B46" s="36" t="s">
        <v>29</v>
      </c>
      <c r="C46" s="34" t="s">
        <v>6</v>
      </c>
      <c r="E46" t="s">
        <v>30</v>
      </c>
      <c r="F46" s="36"/>
      <c r="G46" s="12">
        <v>42948.7156481482</v>
      </c>
      <c r="H46" t="s">
        <v>31</v>
      </c>
      <c r="J46" s="12">
        <v>42991.6666666667</v>
      </c>
      <c r="K46" s="12">
        <v>42991.0324537037</v>
      </c>
      <c r="L46" s="56">
        <f t="shared" si="3"/>
        <v>42.3168055554997</v>
      </c>
    </row>
    <row r="47" ht="14.25" customHeight="1" spans="1:12">
      <c r="A47" s="36"/>
      <c r="B47" s="36" t="s">
        <v>32</v>
      </c>
      <c r="C47" s="34" t="s">
        <v>7</v>
      </c>
      <c r="E47" t="s">
        <v>36</v>
      </c>
      <c r="F47" s="36"/>
      <c r="G47" s="12">
        <v>42950.6501157407</v>
      </c>
      <c r="H47" s="55" t="s">
        <v>31</v>
      </c>
      <c r="J47" s="12">
        <v>42993.65</v>
      </c>
      <c r="K47" s="12">
        <v>42992.3964467593</v>
      </c>
      <c r="L47" s="56">
        <f t="shared" si="3"/>
        <v>41.7463310186067</v>
      </c>
    </row>
    <row r="48" ht="14.25" customHeight="1" spans="1:12">
      <c r="A48" s="36"/>
      <c r="B48" s="36" t="s">
        <v>32</v>
      </c>
      <c r="C48" s="34" t="s">
        <v>6</v>
      </c>
      <c r="E48" t="s">
        <v>34</v>
      </c>
      <c r="F48" s="36"/>
      <c r="G48" s="12">
        <v>42952.7693634259</v>
      </c>
      <c r="H48" s="55" t="s">
        <v>31</v>
      </c>
      <c r="J48" s="12">
        <v>42996.6666666667</v>
      </c>
      <c r="K48" s="12">
        <v>42993.1390277778</v>
      </c>
      <c r="L48" s="56">
        <f t="shared" si="3"/>
        <v>40.3696643518997</v>
      </c>
    </row>
    <row r="49" ht="14.25" customHeight="1" spans="1:12">
      <c r="A49" s="36"/>
      <c r="B49" s="36" t="s">
        <v>29</v>
      </c>
      <c r="C49" s="34" t="s">
        <v>8</v>
      </c>
      <c r="E49" t="s">
        <v>30</v>
      </c>
      <c r="F49" s="36"/>
      <c r="G49" s="12">
        <v>42954.5244444444</v>
      </c>
      <c r="H49" s="55" t="s">
        <v>31</v>
      </c>
      <c r="J49" s="12">
        <v>42997.5243055555</v>
      </c>
      <c r="K49" s="12">
        <v>42979.1912152778</v>
      </c>
      <c r="L49" s="56">
        <f t="shared" si="3"/>
        <v>24.6667708333989</v>
      </c>
    </row>
    <row r="50" ht="14.25" customHeight="1" spans="1:12">
      <c r="A50" s="36"/>
      <c r="B50" s="36" t="s">
        <v>29</v>
      </c>
      <c r="C50" s="34" t="s">
        <v>5</v>
      </c>
      <c r="E50" t="s">
        <v>30</v>
      </c>
      <c r="F50" s="36"/>
      <c r="G50" s="12">
        <v>42955.5474074074</v>
      </c>
      <c r="H50" s="55" t="s">
        <v>31</v>
      </c>
      <c r="J50" s="12">
        <v>42998.5472222222</v>
      </c>
      <c r="K50" s="12">
        <v>42983.4522222222</v>
      </c>
      <c r="L50" s="56">
        <f t="shared" si="3"/>
        <v>27.9048148147995</v>
      </c>
    </row>
    <row r="51" ht="14.25" customHeight="1" spans="1:12">
      <c r="A51" s="36"/>
      <c r="B51" s="36" t="s">
        <v>32</v>
      </c>
      <c r="C51" s="34" t="s">
        <v>6</v>
      </c>
      <c r="E51" t="s">
        <v>34</v>
      </c>
      <c r="F51" s="36"/>
      <c r="G51" s="12">
        <v>42957.5778819445</v>
      </c>
      <c r="H51" s="55" t="s">
        <v>31</v>
      </c>
      <c r="J51" s="12">
        <v>43000.5777777778</v>
      </c>
      <c r="K51" s="12">
        <v>42991.4491319444</v>
      </c>
      <c r="L51" s="56">
        <f t="shared" si="3"/>
        <v>33.8712499999019</v>
      </c>
    </row>
    <row r="52" ht="14.25" customHeight="1" spans="1:12">
      <c r="A52" s="36"/>
      <c r="B52" s="36" t="s">
        <v>32</v>
      </c>
      <c r="C52" s="34" t="s">
        <v>6</v>
      </c>
      <c r="E52" s="36" t="s">
        <v>33</v>
      </c>
      <c r="F52" s="36"/>
      <c r="G52" s="12">
        <v>42957.5975</v>
      </c>
      <c r="H52" s="55" t="s">
        <v>31</v>
      </c>
      <c r="J52" s="12">
        <v>43000.5972222222</v>
      </c>
      <c r="K52" s="12">
        <v>42982.0980555556</v>
      </c>
      <c r="L52" s="56">
        <f t="shared" si="3"/>
        <v>24.5005555555981</v>
      </c>
    </row>
    <row r="53" ht="14.25" customHeight="1" spans="1:12">
      <c r="A53" s="36"/>
      <c r="B53" s="36" t="s">
        <v>32</v>
      </c>
      <c r="C53" s="34" t="s">
        <v>6</v>
      </c>
      <c r="E53" t="s">
        <v>33</v>
      </c>
      <c r="F53" s="36"/>
      <c r="G53" s="12">
        <v>42961.6700925926</v>
      </c>
      <c r="H53" s="55" t="s">
        <v>31</v>
      </c>
      <c r="J53" s="12">
        <v>43004.6666666667</v>
      </c>
      <c r="K53" s="12">
        <v>43004.6666666667</v>
      </c>
      <c r="L53" s="56">
        <f t="shared" si="3"/>
        <v>42.9965740741027</v>
      </c>
    </row>
    <row r="54" ht="14.25" customHeight="1" spans="1:12">
      <c r="A54" s="36"/>
      <c r="B54" s="36" t="s">
        <v>32</v>
      </c>
      <c r="C54" s="34" t="s">
        <v>6</v>
      </c>
      <c r="E54" t="s">
        <v>34</v>
      </c>
      <c r="F54" s="36"/>
      <c r="G54" s="12">
        <v>42962.5000347222</v>
      </c>
      <c r="H54" s="55" t="s">
        <v>31</v>
      </c>
      <c r="J54" s="12">
        <v>43005.5</v>
      </c>
      <c r="K54" s="12">
        <v>42997.4029166667</v>
      </c>
      <c r="L54" s="56">
        <f t="shared" si="3"/>
        <v>34.9028819445011</v>
      </c>
    </row>
    <row r="55" ht="14.25" customHeight="1" spans="1:12">
      <c r="A55" s="36"/>
      <c r="B55" s="36" t="s">
        <v>32</v>
      </c>
      <c r="C55" s="34" t="s">
        <v>7</v>
      </c>
      <c r="E55" t="s">
        <v>36</v>
      </c>
      <c r="F55" s="36"/>
      <c r="G55" s="12">
        <v>42962.7502083333</v>
      </c>
      <c r="H55" s="55" t="s">
        <v>31</v>
      </c>
      <c r="J55" s="12">
        <v>43005.6666666667</v>
      </c>
      <c r="K55" s="12">
        <v>42984.3787962963</v>
      </c>
      <c r="L55" s="56">
        <f t="shared" si="3"/>
        <v>21.6285879630013</v>
      </c>
    </row>
    <row r="56" ht="14.25" customHeight="1" spans="1:12">
      <c r="A56" s="36"/>
      <c r="B56" s="36" t="s">
        <v>32</v>
      </c>
      <c r="C56" s="34" t="s">
        <v>6</v>
      </c>
      <c r="E56" t="s">
        <v>33</v>
      </c>
      <c r="F56" s="36"/>
      <c r="G56" s="12">
        <v>42968.44625</v>
      </c>
      <c r="H56" s="55" t="s">
        <v>31</v>
      </c>
      <c r="J56" s="12">
        <v>43011.4458333333</v>
      </c>
      <c r="K56" s="12">
        <v>42979.2780439815</v>
      </c>
      <c r="L56" s="56">
        <f t="shared" si="3"/>
        <v>10.8317939815024</v>
      </c>
    </row>
    <row r="57" ht="14.25" customHeight="1" spans="1:12">
      <c r="A57" s="36"/>
      <c r="B57" s="36" t="s">
        <v>29</v>
      </c>
      <c r="C57" s="34" t="s">
        <v>8</v>
      </c>
      <c r="E57" t="s">
        <v>30</v>
      </c>
      <c r="F57" s="36"/>
      <c r="G57" s="12">
        <v>42970.4124189815</v>
      </c>
      <c r="H57" s="55" t="s">
        <v>31</v>
      </c>
      <c r="J57" s="12">
        <v>43013.4118055556</v>
      </c>
      <c r="K57" s="12">
        <v>42991.0097800926</v>
      </c>
      <c r="L57" s="56">
        <f t="shared" si="3"/>
        <v>20.597361111104</v>
      </c>
    </row>
    <row r="58" ht="14.25" customHeight="1" spans="1:12">
      <c r="A58" s="36"/>
      <c r="B58" s="36" t="s">
        <v>32</v>
      </c>
      <c r="C58" s="34" t="s">
        <v>6</v>
      </c>
      <c r="E58" t="s">
        <v>33</v>
      </c>
      <c r="F58" s="36"/>
      <c r="G58" s="12">
        <v>42971.4343171296</v>
      </c>
      <c r="H58" s="55" t="s">
        <v>31</v>
      </c>
      <c r="J58" s="12">
        <v>43014.4340277778</v>
      </c>
      <c r="K58" s="12">
        <v>42991.0090740741</v>
      </c>
      <c r="L58" s="56">
        <f t="shared" si="3"/>
        <v>19.5747569445011</v>
      </c>
    </row>
    <row r="59" ht="14.25" customHeight="1" spans="1:12">
      <c r="A59" s="36"/>
      <c r="B59" s="36" t="s">
        <v>32</v>
      </c>
      <c r="C59" s="34" t="s">
        <v>6</v>
      </c>
      <c r="E59" t="s">
        <v>33</v>
      </c>
      <c r="F59" s="36"/>
      <c r="G59" s="12">
        <v>42971.655474537</v>
      </c>
      <c r="H59" s="55" t="s">
        <v>31</v>
      </c>
      <c r="J59" s="12">
        <v>43014.6548611111</v>
      </c>
      <c r="K59" s="12">
        <v>42979.2751388889</v>
      </c>
      <c r="L59" s="56">
        <f t="shared" si="3"/>
        <v>7.6196643518997</v>
      </c>
    </row>
    <row r="60" ht="14.25" customHeight="1" spans="1:12">
      <c r="A60" s="36"/>
      <c r="B60" s="36" t="s">
        <v>32</v>
      </c>
      <c r="C60" s="34" t="s">
        <v>6</v>
      </c>
      <c r="E60" t="s">
        <v>33</v>
      </c>
      <c r="F60" s="36"/>
      <c r="G60" s="12">
        <v>42975.4171759259</v>
      </c>
      <c r="H60" s="55" t="s">
        <v>31</v>
      </c>
      <c r="J60" s="12">
        <v>43019.4166666667</v>
      </c>
      <c r="K60" s="12">
        <v>42982.0805671296</v>
      </c>
      <c r="L60" s="56">
        <f t="shared" si="3"/>
        <v>6.66339120369958</v>
      </c>
    </row>
    <row r="61" ht="14.25" customHeight="1" spans="1:12">
      <c r="A61" s="36"/>
      <c r="B61" s="36" t="s">
        <v>29</v>
      </c>
      <c r="C61" s="34" t="s">
        <v>9</v>
      </c>
      <c r="E61" t="s">
        <v>30</v>
      </c>
      <c r="F61" s="36"/>
      <c r="G61" s="12">
        <v>42975.6745601852</v>
      </c>
      <c r="H61" s="55" t="s">
        <v>31</v>
      </c>
      <c r="J61" s="12">
        <v>43019.6666666667</v>
      </c>
      <c r="K61" s="12">
        <v>42999.0874074074</v>
      </c>
      <c r="L61" s="56">
        <f t="shared" si="3"/>
        <v>23.4128472222001</v>
      </c>
    </row>
    <row r="62" ht="14.25" customHeight="1" spans="1:12">
      <c r="A62" s="36"/>
      <c r="B62" s="36" t="s">
        <v>32</v>
      </c>
      <c r="C62" s="34" t="s">
        <v>7</v>
      </c>
      <c r="E62" t="s">
        <v>34</v>
      </c>
      <c r="F62" s="36"/>
      <c r="G62" s="12">
        <v>42975.6909953704</v>
      </c>
      <c r="H62" s="55" t="s">
        <v>31</v>
      </c>
      <c r="J62" s="12">
        <v>43019.6666666667</v>
      </c>
      <c r="K62" s="12">
        <v>42982.0922569444</v>
      </c>
      <c r="L62" s="56">
        <f t="shared" si="3"/>
        <v>6.40126157399936</v>
      </c>
    </row>
    <row r="63" ht="14.25" customHeight="1" spans="1:12">
      <c r="A63" s="36"/>
      <c r="B63" s="36" t="s">
        <v>32</v>
      </c>
      <c r="C63" s="34" t="s">
        <v>6</v>
      </c>
      <c r="E63" t="s">
        <v>33</v>
      </c>
      <c r="F63" s="36"/>
      <c r="G63" s="12">
        <v>42976.436400463</v>
      </c>
      <c r="H63" s="55" t="s">
        <v>31</v>
      </c>
      <c r="J63" s="12">
        <v>43020.4361111111</v>
      </c>
      <c r="K63" s="12">
        <v>42982.0814467593</v>
      </c>
      <c r="L63" s="56">
        <f t="shared" si="3"/>
        <v>5.64504629630392</v>
      </c>
    </row>
    <row r="64" ht="14.25" customHeight="1" spans="1:12">
      <c r="A64" s="36"/>
      <c r="B64" s="36" t="s">
        <v>29</v>
      </c>
      <c r="C64" s="34" t="s">
        <v>9</v>
      </c>
      <c r="E64" t="s">
        <v>30</v>
      </c>
      <c r="F64" s="36"/>
      <c r="G64" s="12">
        <v>42978.2224421296</v>
      </c>
      <c r="H64" s="55" t="s">
        <v>31</v>
      </c>
      <c r="J64" s="12">
        <v>43021.6666666667</v>
      </c>
      <c r="K64" s="12">
        <v>42991.2894560185</v>
      </c>
      <c r="L64" s="56">
        <f t="shared" si="3"/>
        <v>13.0670138889036</v>
      </c>
    </row>
    <row r="65" ht="14.25" customHeight="1" spans="1:12">
      <c r="A65" s="36"/>
      <c r="B65" s="36" t="s">
        <v>32</v>
      </c>
      <c r="C65" s="34" t="s">
        <v>6</v>
      </c>
      <c r="E65" t="s">
        <v>34</v>
      </c>
      <c r="F65" s="36"/>
      <c r="G65" s="12">
        <v>42978.3577314815</v>
      </c>
      <c r="H65" s="55" t="s">
        <v>31</v>
      </c>
      <c r="J65" s="12">
        <v>43024.3576388889</v>
      </c>
      <c r="K65" s="12">
        <v>42999.290462963</v>
      </c>
      <c r="L65" s="56">
        <f t="shared" si="3"/>
        <v>20.9327314815018</v>
      </c>
    </row>
  </sheetData>
  <autoFilter ref="A1:L65"/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5:C37"/>
  <sheetViews>
    <sheetView topLeftCell="A19" workbookViewId="0">
      <selection activeCell="B32" sqref="B32:B37"/>
    </sheetView>
  </sheetViews>
  <sheetFormatPr defaultColWidth="9" defaultRowHeight="13.5" outlineLevelCol="2"/>
  <cols>
    <col min="1" max="1" width="29.7142857142857" customWidth="1"/>
    <col min="2" max="2" width="9.71428571428571" customWidth="1"/>
  </cols>
  <sheetData>
    <row r="5" spans="2:3">
      <c r="B5" s="44" t="s">
        <v>39</v>
      </c>
      <c r="C5" s="44" t="s">
        <v>40</v>
      </c>
    </row>
    <row r="6" spans="1:3">
      <c r="A6" s="45" t="s">
        <v>5</v>
      </c>
      <c r="B6" s="46">
        <v>4</v>
      </c>
      <c r="C6" s="46">
        <v>4</v>
      </c>
    </row>
    <row r="7" spans="1:3">
      <c r="A7" s="45" t="s">
        <v>6</v>
      </c>
      <c r="B7" s="46">
        <v>42</v>
      </c>
      <c r="C7" s="46">
        <v>34</v>
      </c>
    </row>
    <row r="8" spans="1:3">
      <c r="A8" t="s">
        <v>7</v>
      </c>
      <c r="B8" s="46">
        <v>8</v>
      </c>
      <c r="C8" s="46">
        <v>5</v>
      </c>
    </row>
    <row r="9" spans="1:3">
      <c r="A9" t="s">
        <v>9</v>
      </c>
      <c r="B9" s="46">
        <v>5</v>
      </c>
      <c r="C9" s="46">
        <v>5</v>
      </c>
    </row>
    <row r="10" spans="1:3">
      <c r="A10" t="s">
        <v>8</v>
      </c>
      <c r="B10" s="46">
        <v>5</v>
      </c>
      <c r="C10" s="46">
        <v>5</v>
      </c>
    </row>
    <row r="11" spans="1:3">
      <c r="A11" t="s">
        <v>10</v>
      </c>
      <c r="B11" s="46">
        <v>0</v>
      </c>
      <c r="C11" s="46">
        <v>0</v>
      </c>
    </row>
    <row r="31" spans="1:2">
      <c r="A31" s="47" t="s">
        <v>41</v>
      </c>
      <c r="B31" s="48" t="s">
        <v>28</v>
      </c>
    </row>
    <row r="32" spans="1:2">
      <c r="A32" s="49" t="s">
        <v>5</v>
      </c>
      <c r="B32" s="46">
        <v>0</v>
      </c>
    </row>
    <row r="33" spans="1:2">
      <c r="A33" s="49" t="s">
        <v>6</v>
      </c>
      <c r="B33" s="46">
        <v>0</v>
      </c>
    </row>
    <row r="34" spans="1:2">
      <c r="A34" s="22" t="s">
        <v>7</v>
      </c>
      <c r="B34" s="46">
        <v>0</v>
      </c>
    </row>
    <row r="35" spans="1:2">
      <c r="A35" s="22" t="s">
        <v>9</v>
      </c>
      <c r="B35" s="46">
        <v>0</v>
      </c>
    </row>
    <row r="36" spans="1:2">
      <c r="A36" s="22" t="s">
        <v>8</v>
      </c>
      <c r="B36" s="46">
        <v>0</v>
      </c>
    </row>
    <row r="37" spans="1:2">
      <c r="A37" s="22" t="s">
        <v>10</v>
      </c>
      <c r="B37" s="46">
        <v>0</v>
      </c>
    </row>
  </sheetData>
  <pageMargins left="0.699305555555556" right="0.699305555555556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name="Button 2" r:id="rId3">
              <controlPr print="0" defaultSize="0">
                <anchor moveWithCells="1" sizeWithCells="1">
                  <from>
                    <xdr:col>14</xdr:col>
                    <xdr:colOff>0</xdr:colOff>
                    <xdr:row>1</xdr:row>
                    <xdr:rowOff>0</xdr:rowOff>
                  </from>
                  <to>
                    <xdr:col>16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A1:R381"/>
  <sheetViews>
    <sheetView tabSelected="1" topLeftCell="P37" workbookViewId="0">
      <selection activeCell="V48" sqref="V48"/>
    </sheetView>
  </sheetViews>
  <sheetFormatPr defaultColWidth="9" defaultRowHeight="12.75" customHeight="1"/>
  <cols>
    <col min="1" max="1" width="15.1428571428571" style="34" customWidth="1"/>
    <col min="2" max="2" width="31.5714285714286" customWidth="1"/>
    <col min="3" max="3" width="10" customWidth="1"/>
    <col min="4" max="4" width="21.2857142857143" customWidth="1"/>
    <col min="5" max="5" width="17.4285714285714" customWidth="1"/>
    <col min="6" max="6" width="32.1428571428571" customWidth="1"/>
    <col min="7" max="7" width="32.4285714285714" customWidth="1"/>
    <col min="8" max="8" width="105.857142857143" customWidth="1"/>
    <col min="9" max="9" width="36.7142857142857" customWidth="1"/>
    <col min="10" max="10" width="10" customWidth="1"/>
    <col min="11" max="11" width="11.4285714285714" customWidth="1"/>
    <col min="12" max="12" width="7.85714285714286" customWidth="1"/>
    <col min="13" max="13" width="16.5714285714286" customWidth="1"/>
    <col min="14" max="14" width="17" customWidth="1"/>
    <col min="15" max="15" width="85.1428571428571" customWidth="1"/>
    <col min="16" max="16" width="61.8571428571429" customWidth="1"/>
    <col min="17" max="17" width="21.2857142857143" customWidth="1"/>
    <col min="18" max="18" width="18.8571428571429" customWidth="1"/>
    <col min="19" max="16384" width="9.14285714285714" customWidth="1"/>
  </cols>
  <sheetData>
    <row r="1" ht="13.5" customHeight="1" spans="1:18">
      <c r="A1" s="35" t="s">
        <v>42</v>
      </c>
      <c r="B1" s="35" t="s">
        <v>43</v>
      </c>
      <c r="C1" s="35" t="s">
        <v>44</v>
      </c>
      <c r="D1" s="35" t="s">
        <v>45</v>
      </c>
      <c r="E1" s="35" t="s">
        <v>46</v>
      </c>
      <c r="F1" s="35" t="s">
        <v>47</v>
      </c>
      <c r="G1" s="35" t="s">
        <v>48</v>
      </c>
      <c r="H1" s="35" t="s">
        <v>49</v>
      </c>
      <c r="I1" s="35" t="s">
        <v>50</v>
      </c>
      <c r="J1" s="35" t="s">
        <v>24</v>
      </c>
      <c r="K1" s="35" t="s">
        <v>51</v>
      </c>
      <c r="L1" s="35" t="s">
        <v>52</v>
      </c>
      <c r="M1" s="35" t="s">
        <v>53</v>
      </c>
      <c r="N1" s="35" t="s">
        <v>54</v>
      </c>
      <c r="O1" s="35" t="s">
        <v>21</v>
      </c>
      <c r="P1" s="35" t="s">
        <v>23</v>
      </c>
      <c r="Q1" s="35" t="s">
        <v>55</v>
      </c>
      <c r="R1" s="41" t="s">
        <v>28</v>
      </c>
    </row>
    <row r="2" ht="13.5" customHeight="1" spans="1:18">
      <c r="A2" s="36"/>
      <c r="B2" s="36" t="s">
        <v>29</v>
      </c>
      <c r="C2" s="36"/>
      <c r="D2" s="36"/>
      <c r="E2" s="36" t="s">
        <v>5</v>
      </c>
      <c r="F2" s="36"/>
      <c r="G2" s="37"/>
      <c r="H2" s="37"/>
      <c r="I2" s="37"/>
      <c r="J2" s="36" t="s">
        <v>56</v>
      </c>
      <c r="K2" s="38">
        <v>3</v>
      </c>
      <c r="L2" s="37"/>
      <c r="M2" s="38">
        <v>0</v>
      </c>
      <c r="N2" s="38">
        <v>1</v>
      </c>
      <c r="O2" s="36"/>
      <c r="P2" s="40">
        <v>42979.04486111</v>
      </c>
      <c r="Q2" s="40">
        <v>42979.26606481</v>
      </c>
      <c r="R2" s="38">
        <v>0</v>
      </c>
    </row>
    <row r="3" ht="13.5" customHeight="1" spans="1:18">
      <c r="A3" s="36"/>
      <c r="B3" s="36" t="s">
        <v>29</v>
      </c>
      <c r="C3" s="36"/>
      <c r="D3" s="36"/>
      <c r="E3" s="36" t="s">
        <v>5</v>
      </c>
      <c r="F3" s="36"/>
      <c r="G3" s="37"/>
      <c r="H3" s="37"/>
      <c r="I3" s="37"/>
      <c r="J3" s="36" t="s">
        <v>56</v>
      </c>
      <c r="K3" s="38">
        <v>3</v>
      </c>
      <c r="L3" s="37"/>
      <c r="M3" s="38">
        <v>0</v>
      </c>
      <c r="N3" s="38">
        <v>1</v>
      </c>
      <c r="O3" s="36"/>
      <c r="P3" s="40">
        <v>42979.06777777</v>
      </c>
      <c r="Q3" s="40">
        <v>42979.2671412</v>
      </c>
      <c r="R3" s="38">
        <v>0</v>
      </c>
    </row>
    <row r="4" ht="13.5" customHeight="1" spans="1:18">
      <c r="A4" s="36"/>
      <c r="B4" s="36" t="s">
        <v>29</v>
      </c>
      <c r="C4" s="36"/>
      <c r="D4" s="36"/>
      <c r="E4" s="36" t="s">
        <v>5</v>
      </c>
      <c r="F4" s="36"/>
      <c r="G4" s="36" t="s">
        <v>57</v>
      </c>
      <c r="H4" s="36"/>
      <c r="I4" s="36"/>
      <c r="J4" s="36" t="s">
        <v>58</v>
      </c>
      <c r="K4" s="38">
        <v>3</v>
      </c>
      <c r="L4" s="37"/>
      <c r="M4" s="38">
        <v>0</v>
      </c>
      <c r="N4" s="38">
        <v>0</v>
      </c>
      <c r="O4" s="36"/>
      <c r="P4" s="40">
        <v>42979.08756944</v>
      </c>
      <c r="Q4" s="40">
        <v>42979.26922453</v>
      </c>
      <c r="R4" s="42">
        <v>4.366666666666</v>
      </c>
    </row>
    <row r="5" ht="13.5" customHeight="1" spans="1:18">
      <c r="A5" s="36"/>
      <c r="B5" s="36" t="s">
        <v>29</v>
      </c>
      <c r="C5" s="36"/>
      <c r="D5" s="36"/>
      <c r="E5" s="36" t="s">
        <v>5</v>
      </c>
      <c r="F5" s="36"/>
      <c r="G5" s="36" t="s">
        <v>57</v>
      </c>
      <c r="H5" s="36"/>
      <c r="I5" s="36"/>
      <c r="J5" s="36" t="s">
        <v>58</v>
      </c>
      <c r="K5" s="38">
        <v>3</v>
      </c>
      <c r="L5" s="37"/>
      <c r="M5" s="38">
        <v>0</v>
      </c>
      <c r="N5" s="38">
        <v>0</v>
      </c>
      <c r="O5" s="36"/>
      <c r="P5" s="40">
        <v>42979.17715277</v>
      </c>
      <c r="Q5" s="40">
        <v>42979.27293981</v>
      </c>
      <c r="R5" s="42">
        <v>2.3</v>
      </c>
    </row>
    <row r="6" ht="13.5" customHeight="1" spans="1:18">
      <c r="A6" s="36"/>
      <c r="B6" s="36" t="s">
        <v>32</v>
      </c>
      <c r="C6" s="36"/>
      <c r="D6" s="36"/>
      <c r="E6" s="36" t="s">
        <v>7</v>
      </c>
      <c r="F6" s="36"/>
      <c r="G6" s="36" t="s">
        <v>59</v>
      </c>
      <c r="H6" s="36"/>
      <c r="I6" s="36"/>
      <c r="J6" s="36" t="s">
        <v>58</v>
      </c>
      <c r="K6" s="38">
        <v>3</v>
      </c>
      <c r="L6" s="37"/>
      <c r="M6" s="38">
        <v>0</v>
      </c>
      <c r="N6" s="38">
        <v>0</v>
      </c>
      <c r="O6" s="36"/>
      <c r="P6" s="40">
        <v>42979.211875</v>
      </c>
      <c r="Q6" s="40">
        <v>42979.30354166</v>
      </c>
      <c r="R6" s="42">
        <v>2.2</v>
      </c>
    </row>
    <row r="7" ht="13.5" customHeight="1" spans="1:18">
      <c r="A7" s="36"/>
      <c r="B7" s="36" t="s">
        <v>29</v>
      </c>
      <c r="C7" s="36"/>
      <c r="D7" s="36"/>
      <c r="E7" s="36" t="s">
        <v>5</v>
      </c>
      <c r="F7" s="36"/>
      <c r="G7" s="36" t="s">
        <v>60</v>
      </c>
      <c r="H7" s="36"/>
      <c r="I7" s="36"/>
      <c r="J7" s="36" t="s">
        <v>58</v>
      </c>
      <c r="K7" s="38">
        <v>3</v>
      </c>
      <c r="L7" s="37"/>
      <c r="M7" s="38">
        <v>0</v>
      </c>
      <c r="N7" s="38">
        <v>0</v>
      </c>
      <c r="O7" s="36"/>
      <c r="P7" s="40">
        <v>42979.26262731</v>
      </c>
      <c r="Q7" s="40">
        <v>42979.26378472</v>
      </c>
      <c r="R7" s="42">
        <v>0.05</v>
      </c>
    </row>
    <row r="8" ht="13.5" customHeight="1" spans="1:18">
      <c r="A8" s="36"/>
      <c r="B8" s="36" t="s">
        <v>29</v>
      </c>
      <c r="C8" s="36"/>
      <c r="D8" s="36"/>
      <c r="E8" s="36" t="s">
        <v>5</v>
      </c>
      <c r="F8" s="36"/>
      <c r="G8" s="36" t="s">
        <v>57</v>
      </c>
      <c r="H8" s="36"/>
      <c r="I8" s="36"/>
      <c r="J8" s="36" t="s">
        <v>58</v>
      </c>
      <c r="K8" s="38">
        <v>3</v>
      </c>
      <c r="L8" s="37"/>
      <c r="M8" s="38">
        <v>0</v>
      </c>
      <c r="N8" s="38">
        <v>0</v>
      </c>
      <c r="O8" s="36"/>
      <c r="P8" s="40">
        <v>42979.80493055</v>
      </c>
      <c r="Q8" s="40">
        <v>42980.47574074</v>
      </c>
      <c r="R8" s="42">
        <v>16.1</v>
      </c>
    </row>
    <row r="9" ht="13.5" customHeight="1" spans="1:18">
      <c r="A9" s="36"/>
      <c r="B9" s="36" t="s">
        <v>29</v>
      </c>
      <c r="C9" s="36"/>
      <c r="D9" s="36"/>
      <c r="E9" s="36" t="s">
        <v>5</v>
      </c>
      <c r="F9" s="36"/>
      <c r="G9" s="36" t="s">
        <v>57</v>
      </c>
      <c r="H9" s="36"/>
      <c r="I9" s="36"/>
      <c r="J9" s="36" t="s">
        <v>58</v>
      </c>
      <c r="K9" s="38">
        <v>4</v>
      </c>
      <c r="L9" s="37"/>
      <c r="M9" s="38">
        <v>0</v>
      </c>
      <c r="N9" s="38">
        <v>0</v>
      </c>
      <c r="O9" s="36"/>
      <c r="P9" s="40">
        <v>42980.08792824</v>
      </c>
      <c r="Q9" s="40">
        <v>42980.88634259</v>
      </c>
      <c r="R9" s="42">
        <v>19.166666666666</v>
      </c>
    </row>
    <row r="10" ht="13.5" customHeight="1" spans="1:18">
      <c r="A10" s="36"/>
      <c r="B10" s="36" t="s">
        <v>29</v>
      </c>
      <c r="C10" s="36"/>
      <c r="D10" s="36"/>
      <c r="E10" s="36" t="s">
        <v>5</v>
      </c>
      <c r="F10" s="36"/>
      <c r="G10" s="36" t="s">
        <v>57</v>
      </c>
      <c r="H10" s="36"/>
      <c r="I10" s="36"/>
      <c r="J10" s="36" t="s">
        <v>58</v>
      </c>
      <c r="K10" s="38">
        <v>4</v>
      </c>
      <c r="L10" s="37"/>
      <c r="M10" s="38">
        <v>0</v>
      </c>
      <c r="N10" s="38">
        <v>0</v>
      </c>
      <c r="O10" s="36"/>
      <c r="P10" s="40">
        <v>42980.13305555</v>
      </c>
      <c r="Q10" s="40">
        <v>42980.89042824</v>
      </c>
      <c r="R10" s="42">
        <v>18.183333333333</v>
      </c>
    </row>
    <row r="11" ht="13.5" customHeight="1" spans="1:18">
      <c r="A11" s="36"/>
      <c r="B11" s="36" t="s">
        <v>32</v>
      </c>
      <c r="C11" s="36"/>
      <c r="D11" s="36"/>
      <c r="E11" s="36" t="s">
        <v>7</v>
      </c>
      <c r="F11" s="36"/>
      <c r="G11" s="36" t="s">
        <v>57</v>
      </c>
      <c r="H11" s="36"/>
      <c r="I11" s="36"/>
      <c r="J11" s="36" t="s">
        <v>58</v>
      </c>
      <c r="K11" s="38">
        <v>3</v>
      </c>
      <c r="L11" s="37"/>
      <c r="M11" s="38">
        <v>0</v>
      </c>
      <c r="N11" s="38">
        <v>0</v>
      </c>
      <c r="O11" s="36"/>
      <c r="P11" s="40">
        <v>42980.18063657</v>
      </c>
      <c r="Q11" s="40">
        <v>42980.60474537</v>
      </c>
      <c r="R11" s="42">
        <v>10.183333333333</v>
      </c>
    </row>
    <row r="12" ht="13.5" customHeight="1" spans="1:18">
      <c r="A12" s="36"/>
      <c r="B12" s="36" t="s">
        <v>29</v>
      </c>
      <c r="C12" s="36"/>
      <c r="D12" s="36"/>
      <c r="E12" s="36" t="s">
        <v>5</v>
      </c>
      <c r="F12" s="36"/>
      <c r="G12" s="36" t="s">
        <v>57</v>
      </c>
      <c r="H12" s="36"/>
      <c r="I12" s="36"/>
      <c r="J12" s="36" t="s">
        <v>58</v>
      </c>
      <c r="K12" s="38">
        <v>4</v>
      </c>
      <c r="L12" s="37"/>
      <c r="M12" s="38">
        <v>0</v>
      </c>
      <c r="N12" s="38">
        <v>0</v>
      </c>
      <c r="O12" s="36"/>
      <c r="P12" s="40">
        <v>42980.20181713</v>
      </c>
      <c r="Q12" s="40">
        <v>42980.8955787</v>
      </c>
      <c r="R12" s="42">
        <v>16.65</v>
      </c>
    </row>
    <row r="13" ht="13.5" customHeight="1" spans="1:18">
      <c r="A13" s="36"/>
      <c r="B13" s="36" t="s">
        <v>29</v>
      </c>
      <c r="C13" s="36"/>
      <c r="D13" s="36"/>
      <c r="E13" s="36" t="s">
        <v>5</v>
      </c>
      <c r="F13" s="36"/>
      <c r="G13" s="36" t="s">
        <v>57</v>
      </c>
      <c r="H13" s="36"/>
      <c r="I13" s="36"/>
      <c r="J13" s="36" t="s">
        <v>58</v>
      </c>
      <c r="K13" s="38">
        <v>3</v>
      </c>
      <c r="L13" s="37"/>
      <c r="M13" s="38">
        <v>0</v>
      </c>
      <c r="N13" s="38">
        <v>0</v>
      </c>
      <c r="O13" s="36"/>
      <c r="P13" s="40">
        <v>42980.67855324</v>
      </c>
      <c r="Q13" s="40">
        <v>42980.86283564</v>
      </c>
      <c r="R13" s="42">
        <v>4.416666666666</v>
      </c>
    </row>
    <row r="14" ht="13.5" customHeight="1" spans="1:18">
      <c r="A14" s="36"/>
      <c r="B14" s="36" t="s">
        <v>29</v>
      </c>
      <c r="C14" s="36"/>
      <c r="D14" s="36"/>
      <c r="E14" s="36" t="s">
        <v>5</v>
      </c>
      <c r="F14" s="36"/>
      <c r="G14" s="36" t="s">
        <v>57</v>
      </c>
      <c r="H14" s="36"/>
      <c r="I14" s="36"/>
      <c r="J14" s="36" t="s">
        <v>58</v>
      </c>
      <c r="K14" s="38">
        <v>3</v>
      </c>
      <c r="L14" s="37"/>
      <c r="M14" s="38">
        <v>0</v>
      </c>
      <c r="N14" s="38">
        <v>0</v>
      </c>
      <c r="O14" s="36"/>
      <c r="P14" s="40">
        <v>42980.78410879</v>
      </c>
      <c r="Q14" s="40">
        <v>42980.86494213</v>
      </c>
      <c r="R14" s="42">
        <v>1.933333333333</v>
      </c>
    </row>
    <row r="15" ht="13.5" customHeight="1" spans="1:18">
      <c r="A15" s="36"/>
      <c r="B15" s="36" t="s">
        <v>29</v>
      </c>
      <c r="C15" s="36"/>
      <c r="D15" s="36"/>
      <c r="E15" s="36" t="s">
        <v>5</v>
      </c>
      <c r="F15" s="36"/>
      <c r="G15" s="36" t="s">
        <v>57</v>
      </c>
      <c r="H15" s="36"/>
      <c r="I15" s="36"/>
      <c r="J15" s="36" t="s">
        <v>58</v>
      </c>
      <c r="K15" s="38">
        <v>3</v>
      </c>
      <c r="L15" s="37"/>
      <c r="M15" s="38">
        <v>0</v>
      </c>
      <c r="N15" s="38">
        <v>0</v>
      </c>
      <c r="O15" s="36"/>
      <c r="P15" s="40">
        <v>42980.80494213</v>
      </c>
      <c r="Q15" s="40">
        <v>42980.86445601</v>
      </c>
      <c r="R15" s="42">
        <v>1.433333333333</v>
      </c>
    </row>
    <row r="16" ht="13.5" customHeight="1" spans="1:18">
      <c r="A16" s="36"/>
      <c r="B16" s="36" t="s">
        <v>29</v>
      </c>
      <c r="C16" s="36"/>
      <c r="D16" s="36"/>
      <c r="E16" s="36" t="s">
        <v>5</v>
      </c>
      <c r="F16" s="36"/>
      <c r="G16" s="36" t="s">
        <v>57</v>
      </c>
      <c r="H16" s="36"/>
      <c r="I16" s="36"/>
      <c r="J16" s="36" t="s">
        <v>58</v>
      </c>
      <c r="K16" s="38">
        <v>3</v>
      </c>
      <c r="L16" s="37"/>
      <c r="M16" s="38">
        <v>0</v>
      </c>
      <c r="N16" s="38">
        <v>0</v>
      </c>
      <c r="O16" s="36"/>
      <c r="P16" s="40">
        <v>42981.02160879</v>
      </c>
      <c r="Q16" s="40">
        <v>42981.52268518</v>
      </c>
      <c r="R16" s="42">
        <v>12.033333333333</v>
      </c>
    </row>
    <row r="17" ht="13.5" customHeight="1" spans="1:18">
      <c r="A17" s="36"/>
      <c r="B17" s="36" t="s">
        <v>32</v>
      </c>
      <c r="C17" s="36"/>
      <c r="D17" s="36"/>
      <c r="E17" s="36" t="s">
        <v>7</v>
      </c>
      <c r="F17" s="36"/>
      <c r="G17" s="36" t="s">
        <v>61</v>
      </c>
      <c r="H17" s="36"/>
      <c r="I17" s="36"/>
      <c r="J17" s="36" t="s">
        <v>58</v>
      </c>
      <c r="K17" s="38">
        <v>3</v>
      </c>
      <c r="L17" s="37"/>
      <c r="M17" s="38">
        <v>0</v>
      </c>
      <c r="N17" s="38">
        <v>0</v>
      </c>
      <c r="O17" s="36"/>
      <c r="P17" s="40">
        <v>42981.05667824</v>
      </c>
      <c r="Q17" s="40">
        <v>42981.51517361</v>
      </c>
      <c r="R17" s="38">
        <v>11</v>
      </c>
    </row>
    <row r="18" ht="13.5" customHeight="1" spans="1:18">
      <c r="A18" s="36"/>
      <c r="B18" s="36" t="s">
        <v>29</v>
      </c>
      <c r="C18" s="36"/>
      <c r="D18" s="36"/>
      <c r="E18" s="36" t="s">
        <v>5</v>
      </c>
      <c r="F18" s="36"/>
      <c r="G18" s="36" t="s">
        <v>57</v>
      </c>
      <c r="H18" s="36"/>
      <c r="I18" s="36"/>
      <c r="J18" s="36" t="s">
        <v>58</v>
      </c>
      <c r="K18" s="38">
        <v>3</v>
      </c>
      <c r="L18" s="37"/>
      <c r="M18" s="38">
        <v>0</v>
      </c>
      <c r="N18" s="38">
        <v>0</v>
      </c>
      <c r="O18" s="36"/>
      <c r="P18" s="40">
        <v>42981.08758101</v>
      </c>
      <c r="Q18" s="40">
        <v>42981.52325231</v>
      </c>
      <c r="R18" s="42">
        <v>10.45</v>
      </c>
    </row>
    <row r="19" ht="13.5" customHeight="1" spans="1:18">
      <c r="A19" s="36"/>
      <c r="B19" s="36" t="s">
        <v>32</v>
      </c>
      <c r="C19" s="36"/>
      <c r="D19" s="36"/>
      <c r="E19" s="36" t="s">
        <v>7</v>
      </c>
      <c r="F19" s="36"/>
      <c r="G19" s="36" t="s">
        <v>57</v>
      </c>
      <c r="H19" s="36"/>
      <c r="I19" s="36"/>
      <c r="J19" s="36" t="s">
        <v>58</v>
      </c>
      <c r="K19" s="38">
        <v>3</v>
      </c>
      <c r="L19" s="37"/>
      <c r="M19" s="38">
        <v>0</v>
      </c>
      <c r="N19" s="38">
        <v>0</v>
      </c>
      <c r="O19" s="36"/>
      <c r="P19" s="40">
        <v>42981.30285879</v>
      </c>
      <c r="Q19" s="40">
        <v>42981.52233796</v>
      </c>
      <c r="R19" s="42">
        <v>5.266666666666</v>
      </c>
    </row>
    <row r="20" ht="13.5" customHeight="1" spans="1:18">
      <c r="A20" s="36"/>
      <c r="B20" s="36" t="s">
        <v>29</v>
      </c>
      <c r="C20" s="36"/>
      <c r="D20" s="36"/>
      <c r="E20" s="36" t="s">
        <v>5</v>
      </c>
      <c r="F20" s="36"/>
      <c r="G20" s="36" t="s">
        <v>57</v>
      </c>
      <c r="H20" s="36"/>
      <c r="I20" s="36"/>
      <c r="J20" s="36" t="s">
        <v>58</v>
      </c>
      <c r="K20" s="38">
        <v>3</v>
      </c>
      <c r="L20" s="37"/>
      <c r="M20" s="38">
        <v>0</v>
      </c>
      <c r="N20" s="38">
        <v>0</v>
      </c>
      <c r="O20" s="36"/>
      <c r="P20" s="40">
        <v>42981.42891203</v>
      </c>
      <c r="Q20" s="40">
        <v>42981.52355324</v>
      </c>
      <c r="R20" s="42">
        <v>2.266666666666</v>
      </c>
    </row>
    <row r="21" ht="39" customHeight="1" spans="1:18">
      <c r="A21" s="36"/>
      <c r="B21" s="36" t="s">
        <v>29</v>
      </c>
      <c r="C21" s="36"/>
      <c r="D21" s="36"/>
      <c r="E21" s="36" t="s">
        <v>5</v>
      </c>
      <c r="F21" s="36"/>
      <c r="G21" s="36" t="s">
        <v>62</v>
      </c>
      <c r="H21" s="36"/>
      <c r="I21" s="39"/>
      <c r="J21" s="36" t="s">
        <v>58</v>
      </c>
      <c r="K21" s="38">
        <v>3</v>
      </c>
      <c r="L21" s="37"/>
      <c r="M21" s="38">
        <v>0</v>
      </c>
      <c r="N21" s="38">
        <v>0</v>
      </c>
      <c r="O21" s="36"/>
      <c r="P21" s="40">
        <v>42981.5487037</v>
      </c>
      <c r="Q21" s="40">
        <v>42982.07842592</v>
      </c>
      <c r="R21" s="42">
        <v>12.716666666666</v>
      </c>
    </row>
    <row r="22" ht="13.5" customHeight="1" spans="1:18">
      <c r="A22" s="36"/>
      <c r="B22" s="36" t="s">
        <v>32</v>
      </c>
      <c r="C22" s="36"/>
      <c r="D22" s="36"/>
      <c r="E22" s="36" t="s">
        <v>7</v>
      </c>
      <c r="F22" s="36"/>
      <c r="G22" s="36" t="s">
        <v>61</v>
      </c>
      <c r="H22" s="36"/>
      <c r="I22" s="36"/>
      <c r="J22" s="36" t="s">
        <v>58</v>
      </c>
      <c r="K22" s="38">
        <v>3</v>
      </c>
      <c r="L22" s="37"/>
      <c r="M22" s="38">
        <v>0</v>
      </c>
      <c r="N22" s="38">
        <v>0</v>
      </c>
      <c r="O22" s="36"/>
      <c r="P22" s="40">
        <v>42981.74800925</v>
      </c>
      <c r="Q22" s="40">
        <v>42982.36511574</v>
      </c>
      <c r="R22" s="42">
        <v>14.816666666666</v>
      </c>
    </row>
    <row r="23" ht="13.5" customHeight="1" spans="1:18">
      <c r="A23" s="36"/>
      <c r="B23" s="36" t="s">
        <v>32</v>
      </c>
      <c r="C23" s="36"/>
      <c r="D23" s="36"/>
      <c r="E23" s="36" t="s">
        <v>7</v>
      </c>
      <c r="F23" s="36"/>
      <c r="G23" s="36" t="s">
        <v>63</v>
      </c>
      <c r="H23" s="36"/>
      <c r="I23" s="36"/>
      <c r="J23" s="36" t="s">
        <v>58</v>
      </c>
      <c r="K23" s="38">
        <v>3</v>
      </c>
      <c r="L23" s="37"/>
      <c r="M23" s="38">
        <v>0</v>
      </c>
      <c r="N23" s="38">
        <v>0</v>
      </c>
      <c r="O23" s="36"/>
      <c r="P23" s="40">
        <v>42981.77266203</v>
      </c>
      <c r="Q23" s="40">
        <v>42981.87780092</v>
      </c>
      <c r="R23" s="42">
        <v>2.516666666666</v>
      </c>
    </row>
    <row r="24" ht="39" customHeight="1" spans="1:18">
      <c r="A24" s="36"/>
      <c r="B24" s="36" t="s">
        <v>29</v>
      </c>
      <c r="C24" s="36"/>
      <c r="D24" s="36"/>
      <c r="E24" s="36" t="s">
        <v>5</v>
      </c>
      <c r="F24" s="36"/>
      <c r="G24" s="36" t="s">
        <v>62</v>
      </c>
      <c r="H24" s="36"/>
      <c r="I24" s="39"/>
      <c r="J24" s="36" t="s">
        <v>58</v>
      </c>
      <c r="K24" s="38">
        <v>3</v>
      </c>
      <c r="L24" s="37"/>
      <c r="M24" s="38">
        <v>0</v>
      </c>
      <c r="N24" s="38">
        <v>0</v>
      </c>
      <c r="O24" s="36"/>
      <c r="P24" s="40">
        <v>42981.88585648</v>
      </c>
      <c r="Q24" s="40">
        <v>42982.07913194</v>
      </c>
      <c r="R24" s="42">
        <v>4.633333333333</v>
      </c>
    </row>
    <row r="25" ht="13.5" customHeight="1" spans="1:18">
      <c r="A25" s="36"/>
      <c r="B25" s="36" t="s">
        <v>29</v>
      </c>
      <c r="C25" s="36"/>
      <c r="D25" s="36"/>
      <c r="E25" s="36" t="s">
        <v>8</v>
      </c>
      <c r="F25" s="36"/>
      <c r="G25" s="36" t="s">
        <v>57</v>
      </c>
      <c r="H25" s="36"/>
      <c r="I25" s="36"/>
      <c r="J25" s="36" t="s">
        <v>58</v>
      </c>
      <c r="K25" s="38">
        <v>3</v>
      </c>
      <c r="L25" s="37"/>
      <c r="M25" s="38">
        <v>0</v>
      </c>
      <c r="N25" s="38">
        <v>0</v>
      </c>
      <c r="O25" s="36"/>
      <c r="P25" s="40">
        <v>42982.01953703</v>
      </c>
      <c r="Q25" s="40">
        <v>42982.02994213</v>
      </c>
      <c r="R25" s="42">
        <v>0.25</v>
      </c>
    </row>
    <row r="26" ht="13.5" customHeight="1" spans="1:18">
      <c r="A26" s="36"/>
      <c r="B26" s="36" t="s">
        <v>29</v>
      </c>
      <c r="C26" s="36"/>
      <c r="D26" s="36"/>
      <c r="E26" s="36" t="s">
        <v>5</v>
      </c>
      <c r="F26" s="36"/>
      <c r="G26" s="36" t="s">
        <v>57</v>
      </c>
      <c r="H26" s="36"/>
      <c r="I26" s="36"/>
      <c r="J26" s="36" t="s">
        <v>58</v>
      </c>
      <c r="K26" s="38">
        <v>3</v>
      </c>
      <c r="L26" s="37"/>
      <c r="M26" s="38">
        <v>0</v>
      </c>
      <c r="N26" s="38">
        <v>0</v>
      </c>
      <c r="O26" s="36"/>
      <c r="P26" s="40">
        <v>42982.08759259</v>
      </c>
      <c r="Q26" s="40">
        <v>42982.38738425</v>
      </c>
      <c r="R26" s="42">
        <v>7.2</v>
      </c>
    </row>
    <row r="27" ht="13.5" customHeight="1" spans="1:18">
      <c r="A27" s="36"/>
      <c r="B27" s="36" t="s">
        <v>29</v>
      </c>
      <c r="C27" s="36"/>
      <c r="D27" s="36"/>
      <c r="E27" s="36" t="s">
        <v>5</v>
      </c>
      <c r="F27" s="36"/>
      <c r="G27" s="36" t="s">
        <v>57</v>
      </c>
      <c r="H27" s="36"/>
      <c r="I27" s="36"/>
      <c r="J27" s="36" t="s">
        <v>58</v>
      </c>
      <c r="K27" s="38">
        <v>3</v>
      </c>
      <c r="L27" s="37"/>
      <c r="M27" s="38">
        <v>0</v>
      </c>
      <c r="N27" s="38">
        <v>0</v>
      </c>
      <c r="O27" s="36"/>
      <c r="P27" s="40">
        <v>42982.17405092</v>
      </c>
      <c r="Q27" s="40">
        <v>42982.21480324</v>
      </c>
      <c r="R27" s="42">
        <v>0.983333333333</v>
      </c>
    </row>
    <row r="28" ht="13.5" customHeight="1" spans="1:18">
      <c r="A28" s="36"/>
      <c r="B28" s="36" t="s">
        <v>32</v>
      </c>
      <c r="C28" s="36"/>
      <c r="D28" s="36"/>
      <c r="E28" s="36" t="s">
        <v>7</v>
      </c>
      <c r="F28" s="36"/>
      <c r="G28" s="36" t="s">
        <v>59</v>
      </c>
      <c r="H28" s="36"/>
      <c r="I28" s="36"/>
      <c r="J28" s="36" t="s">
        <v>58</v>
      </c>
      <c r="K28" s="38">
        <v>3</v>
      </c>
      <c r="L28" s="37"/>
      <c r="M28" s="38">
        <v>0</v>
      </c>
      <c r="N28" s="38">
        <v>0</v>
      </c>
      <c r="O28" s="36"/>
      <c r="P28" s="40">
        <v>42982.22231481</v>
      </c>
      <c r="Q28" s="40">
        <v>42982.29487268</v>
      </c>
      <c r="R28" s="42">
        <v>1.733333333333</v>
      </c>
    </row>
    <row r="29" ht="13.5" customHeight="1" spans="1:18">
      <c r="A29" s="36"/>
      <c r="B29" s="36" t="s">
        <v>29</v>
      </c>
      <c r="C29" s="36"/>
      <c r="D29" s="36"/>
      <c r="E29" s="36" t="s">
        <v>5</v>
      </c>
      <c r="F29" s="36"/>
      <c r="G29" s="36" t="s">
        <v>64</v>
      </c>
      <c r="H29" s="36"/>
      <c r="I29" s="36"/>
      <c r="J29" s="36" t="s">
        <v>58</v>
      </c>
      <c r="K29" s="38">
        <v>3</v>
      </c>
      <c r="L29" s="37"/>
      <c r="M29" s="38">
        <v>0</v>
      </c>
      <c r="N29" s="38">
        <v>0</v>
      </c>
      <c r="O29" s="36"/>
      <c r="P29" s="40">
        <v>42982.2424537</v>
      </c>
      <c r="Q29" s="40">
        <v>42982.38292824</v>
      </c>
      <c r="R29" s="42">
        <v>3.366666666666</v>
      </c>
    </row>
    <row r="30" ht="13.5" customHeight="1" spans="1:18">
      <c r="A30" s="36"/>
      <c r="B30" s="36" t="s">
        <v>32</v>
      </c>
      <c r="C30" s="36"/>
      <c r="D30" s="36"/>
      <c r="E30" s="36" t="s">
        <v>7</v>
      </c>
      <c r="F30" s="36"/>
      <c r="G30" s="36" t="s">
        <v>57</v>
      </c>
      <c r="H30" s="36"/>
      <c r="I30" s="36"/>
      <c r="J30" s="36" t="s">
        <v>58</v>
      </c>
      <c r="K30" s="38">
        <v>3</v>
      </c>
      <c r="L30" s="37"/>
      <c r="M30" s="38">
        <v>0</v>
      </c>
      <c r="N30" s="38">
        <v>0</v>
      </c>
      <c r="O30" s="36"/>
      <c r="P30" s="40">
        <v>42982.25148148</v>
      </c>
      <c r="Q30" s="40">
        <v>42982.26829861</v>
      </c>
      <c r="R30" s="42">
        <v>0.4</v>
      </c>
    </row>
    <row r="31" ht="13.5" customHeight="1" spans="1:18">
      <c r="A31" s="36"/>
      <c r="B31" s="36" t="s">
        <v>32</v>
      </c>
      <c r="C31" s="36"/>
      <c r="D31" s="36"/>
      <c r="E31" s="36" t="s">
        <v>7</v>
      </c>
      <c r="F31" s="36"/>
      <c r="G31" s="36" t="s">
        <v>57</v>
      </c>
      <c r="H31" s="36"/>
      <c r="I31" s="36"/>
      <c r="J31" s="36" t="s">
        <v>58</v>
      </c>
      <c r="K31" s="38">
        <v>3</v>
      </c>
      <c r="L31" s="37"/>
      <c r="M31" s="38">
        <v>0</v>
      </c>
      <c r="N31" s="38">
        <v>0</v>
      </c>
      <c r="O31" s="36"/>
      <c r="P31" s="40">
        <v>42982.4393287</v>
      </c>
      <c r="Q31" s="40">
        <v>42982.90800925</v>
      </c>
      <c r="R31" s="42">
        <v>11.25</v>
      </c>
    </row>
    <row r="32" ht="13.5" customHeight="1" spans="1:18">
      <c r="A32" s="36"/>
      <c r="B32" s="36" t="s">
        <v>32</v>
      </c>
      <c r="C32" s="36"/>
      <c r="D32" s="36"/>
      <c r="E32" s="36" t="s">
        <v>7</v>
      </c>
      <c r="F32" s="36"/>
      <c r="G32" s="36" t="s">
        <v>61</v>
      </c>
      <c r="H32" s="36"/>
      <c r="I32" s="36"/>
      <c r="J32" s="36" t="s">
        <v>58</v>
      </c>
      <c r="K32" s="38">
        <v>3</v>
      </c>
      <c r="L32" s="37"/>
      <c r="M32" s="38">
        <v>0</v>
      </c>
      <c r="N32" s="38">
        <v>0</v>
      </c>
      <c r="O32" s="36"/>
      <c r="P32" s="40">
        <v>42982.96953703</v>
      </c>
      <c r="Q32" s="40">
        <v>42983.44078703</v>
      </c>
      <c r="R32" s="42">
        <v>11.316666666666</v>
      </c>
    </row>
    <row r="33" ht="13.5" customHeight="1" spans="1:18">
      <c r="A33" s="36"/>
      <c r="B33" s="36" t="s">
        <v>29</v>
      </c>
      <c r="C33" s="36"/>
      <c r="D33" s="36"/>
      <c r="E33" s="36" t="s">
        <v>5</v>
      </c>
      <c r="F33" s="36"/>
      <c r="G33" s="36" t="s">
        <v>57</v>
      </c>
      <c r="H33" s="36"/>
      <c r="I33" s="36"/>
      <c r="J33" s="36" t="s">
        <v>58</v>
      </c>
      <c r="K33" s="38">
        <v>3</v>
      </c>
      <c r="L33" s="37"/>
      <c r="M33" s="38">
        <v>0</v>
      </c>
      <c r="N33" s="38">
        <v>0</v>
      </c>
      <c r="O33" s="36"/>
      <c r="P33" s="40">
        <v>42983.01849537</v>
      </c>
      <c r="Q33" s="40">
        <v>42983.02402777</v>
      </c>
      <c r="R33" s="42">
        <v>0.133333333333</v>
      </c>
    </row>
    <row r="34" ht="13.5" customHeight="1" spans="1:18">
      <c r="A34" s="36"/>
      <c r="B34" s="36" t="s">
        <v>29</v>
      </c>
      <c r="C34" s="36"/>
      <c r="D34" s="36"/>
      <c r="E34" s="36" t="s">
        <v>5</v>
      </c>
      <c r="F34" s="36"/>
      <c r="G34" s="36" t="s">
        <v>57</v>
      </c>
      <c r="H34" s="36"/>
      <c r="I34" s="36"/>
      <c r="J34" s="36" t="s">
        <v>58</v>
      </c>
      <c r="K34" s="38">
        <v>3</v>
      </c>
      <c r="L34" s="37"/>
      <c r="M34" s="38">
        <v>0</v>
      </c>
      <c r="N34" s="38">
        <v>0</v>
      </c>
      <c r="O34" s="36"/>
      <c r="P34" s="40">
        <v>42983.08759259</v>
      </c>
      <c r="Q34" s="40">
        <v>42983.09910879</v>
      </c>
      <c r="R34" s="42">
        <v>0.283333333333</v>
      </c>
    </row>
    <row r="35" ht="13.5" customHeight="1" spans="1:18">
      <c r="A35" s="36"/>
      <c r="B35" s="36" t="s">
        <v>29</v>
      </c>
      <c r="C35" s="36"/>
      <c r="D35" s="36"/>
      <c r="E35" s="36" t="s">
        <v>5</v>
      </c>
      <c r="F35" s="36"/>
      <c r="G35" s="36" t="s">
        <v>57</v>
      </c>
      <c r="H35" s="36"/>
      <c r="I35" s="36"/>
      <c r="J35" s="36" t="s">
        <v>58</v>
      </c>
      <c r="K35" s="38">
        <v>3</v>
      </c>
      <c r="L35" s="37"/>
      <c r="M35" s="38">
        <v>0</v>
      </c>
      <c r="N35" s="38">
        <v>0</v>
      </c>
      <c r="O35" s="36"/>
      <c r="P35" s="40">
        <v>42983.17545138</v>
      </c>
      <c r="Q35" s="40">
        <v>42983.40197916</v>
      </c>
      <c r="R35" s="42">
        <v>5.433333333333</v>
      </c>
    </row>
    <row r="36" ht="13.5" customHeight="1" spans="1:18">
      <c r="A36" s="36"/>
      <c r="B36" s="36" t="s">
        <v>32</v>
      </c>
      <c r="C36" s="36"/>
      <c r="D36" s="36"/>
      <c r="E36" s="36" t="s">
        <v>7</v>
      </c>
      <c r="F36" s="36"/>
      <c r="G36" s="36" t="s">
        <v>59</v>
      </c>
      <c r="H36" s="36"/>
      <c r="I36" s="36"/>
      <c r="J36" s="36" t="s">
        <v>58</v>
      </c>
      <c r="K36" s="38">
        <v>3</v>
      </c>
      <c r="L36" s="37"/>
      <c r="M36" s="38">
        <v>0</v>
      </c>
      <c r="N36" s="38">
        <v>0</v>
      </c>
      <c r="O36" s="36"/>
      <c r="P36" s="40">
        <v>42983.18829861</v>
      </c>
      <c r="Q36" s="40">
        <v>42983.2502199</v>
      </c>
      <c r="R36" s="42">
        <v>1.483333333333</v>
      </c>
    </row>
    <row r="37" ht="13.5" customHeight="1" spans="1:18">
      <c r="A37" s="36"/>
      <c r="B37" s="36" t="s">
        <v>29</v>
      </c>
      <c r="C37" s="36"/>
      <c r="D37" s="36"/>
      <c r="E37" s="36" t="s">
        <v>8</v>
      </c>
      <c r="F37" s="36"/>
      <c r="G37" s="36" t="s">
        <v>65</v>
      </c>
      <c r="H37" s="36"/>
      <c r="I37" s="36"/>
      <c r="J37" s="36" t="s">
        <v>58</v>
      </c>
      <c r="K37" s="38">
        <v>3</v>
      </c>
      <c r="L37" s="37"/>
      <c r="M37" s="38">
        <v>0</v>
      </c>
      <c r="N37" s="38">
        <v>0</v>
      </c>
      <c r="O37" s="36"/>
      <c r="P37" s="40">
        <v>42983.39280092</v>
      </c>
      <c r="Q37" s="40">
        <v>42983.44914351</v>
      </c>
      <c r="R37" s="42">
        <v>1.366666666666</v>
      </c>
    </row>
    <row r="38" ht="13.5" customHeight="1" spans="1:18">
      <c r="A38" s="36"/>
      <c r="B38" s="36" t="s">
        <v>32</v>
      </c>
      <c r="C38" s="36"/>
      <c r="D38" s="36"/>
      <c r="E38" s="36" t="s">
        <v>7</v>
      </c>
      <c r="F38" s="36"/>
      <c r="G38" s="36" t="s">
        <v>57</v>
      </c>
      <c r="H38" s="36"/>
      <c r="I38" s="36"/>
      <c r="J38" s="36" t="s">
        <v>58</v>
      </c>
      <c r="K38" s="38">
        <v>3</v>
      </c>
      <c r="L38" s="37"/>
      <c r="M38" s="38">
        <v>0</v>
      </c>
      <c r="N38" s="38">
        <v>0</v>
      </c>
      <c r="O38" s="36"/>
      <c r="P38" s="40">
        <v>42983.46190972</v>
      </c>
      <c r="Q38" s="40">
        <v>42983.72351851</v>
      </c>
      <c r="R38" s="42">
        <v>6.283333333333</v>
      </c>
    </row>
    <row r="39" ht="13.5" customHeight="1" spans="1:18">
      <c r="A39" s="36"/>
      <c r="B39" s="36" t="s">
        <v>32</v>
      </c>
      <c r="C39" s="36"/>
      <c r="D39" s="36"/>
      <c r="E39" s="36" t="s">
        <v>7</v>
      </c>
      <c r="F39" s="36"/>
      <c r="G39" s="36" t="s">
        <v>63</v>
      </c>
      <c r="H39" s="36"/>
      <c r="I39" s="36"/>
      <c r="J39" s="36" t="s">
        <v>58</v>
      </c>
      <c r="K39" s="38">
        <v>3</v>
      </c>
      <c r="L39" s="37"/>
      <c r="M39" s="38">
        <v>0</v>
      </c>
      <c r="N39" s="38">
        <v>0</v>
      </c>
      <c r="O39" s="36"/>
      <c r="P39" s="40">
        <v>42983.55704861</v>
      </c>
      <c r="Q39" s="40">
        <v>42983.72164351</v>
      </c>
      <c r="R39" s="42">
        <v>3.95</v>
      </c>
    </row>
    <row r="40" ht="13.5" customHeight="1" spans="1:18">
      <c r="A40" s="36"/>
      <c r="B40" s="36" t="s">
        <v>29</v>
      </c>
      <c r="C40" s="36"/>
      <c r="D40" s="36"/>
      <c r="E40" s="36" t="s">
        <v>5</v>
      </c>
      <c r="F40" s="36"/>
      <c r="G40" s="36" t="s">
        <v>57</v>
      </c>
      <c r="H40" s="36"/>
      <c r="I40" s="36"/>
      <c r="J40" s="36" t="s">
        <v>58</v>
      </c>
      <c r="K40" s="38">
        <v>3</v>
      </c>
      <c r="L40" s="37"/>
      <c r="M40" s="38">
        <v>0</v>
      </c>
      <c r="N40" s="38">
        <v>0</v>
      </c>
      <c r="O40" s="36"/>
      <c r="P40" s="40">
        <v>42983.79663194</v>
      </c>
      <c r="Q40" s="40">
        <v>42983.96971064</v>
      </c>
      <c r="R40" s="42">
        <v>4.15</v>
      </c>
    </row>
    <row r="41" ht="13.5" customHeight="1" spans="1:18">
      <c r="A41" s="36"/>
      <c r="B41" s="36" t="s">
        <v>29</v>
      </c>
      <c r="C41" s="36"/>
      <c r="D41" s="36"/>
      <c r="E41" s="36" t="s">
        <v>8</v>
      </c>
      <c r="F41" s="36"/>
      <c r="G41" s="36" t="s">
        <v>57</v>
      </c>
      <c r="H41" s="36"/>
      <c r="I41" s="36"/>
      <c r="J41" s="36" t="s">
        <v>58</v>
      </c>
      <c r="K41" s="38">
        <v>3</v>
      </c>
      <c r="L41" s="37"/>
      <c r="M41" s="38">
        <v>0</v>
      </c>
      <c r="N41" s="38">
        <v>0</v>
      </c>
      <c r="O41" s="36"/>
      <c r="P41" s="40">
        <v>42983.80496527</v>
      </c>
      <c r="Q41" s="40">
        <v>42983.96909722</v>
      </c>
      <c r="R41" s="42">
        <v>3.933333333333</v>
      </c>
    </row>
    <row r="42" ht="13.5" customHeight="1" spans="1:18">
      <c r="A42" s="36"/>
      <c r="B42" s="36" t="s">
        <v>29</v>
      </c>
      <c r="C42" s="36"/>
      <c r="D42" s="36"/>
      <c r="E42" s="36" t="s">
        <v>5</v>
      </c>
      <c r="F42" s="36"/>
      <c r="G42" s="36" t="s">
        <v>57</v>
      </c>
      <c r="H42" s="36"/>
      <c r="I42" s="36"/>
      <c r="J42" s="36" t="s">
        <v>58</v>
      </c>
      <c r="K42" s="38">
        <v>3</v>
      </c>
      <c r="L42" s="37"/>
      <c r="M42" s="38">
        <v>0</v>
      </c>
      <c r="N42" s="38">
        <v>0</v>
      </c>
      <c r="O42" s="36"/>
      <c r="P42" s="40">
        <v>42983.88552083</v>
      </c>
      <c r="Q42" s="40">
        <v>42984.2034375</v>
      </c>
      <c r="R42" s="42">
        <v>7.633333333333</v>
      </c>
    </row>
    <row r="43" ht="13.5" customHeight="1" spans="1:18">
      <c r="A43" s="36"/>
      <c r="B43" s="36" t="s">
        <v>29</v>
      </c>
      <c r="C43" s="36"/>
      <c r="D43" s="36"/>
      <c r="E43" s="36" t="s">
        <v>5</v>
      </c>
      <c r="F43" s="36"/>
      <c r="G43" s="36" t="s">
        <v>57</v>
      </c>
      <c r="H43" s="36"/>
      <c r="I43" s="36"/>
      <c r="J43" s="36" t="s">
        <v>58</v>
      </c>
      <c r="K43" s="38">
        <v>3</v>
      </c>
      <c r="L43" s="37"/>
      <c r="M43" s="38">
        <v>0</v>
      </c>
      <c r="N43" s="38">
        <v>0</v>
      </c>
      <c r="O43" s="36"/>
      <c r="P43" s="40">
        <v>42984.01711805</v>
      </c>
      <c r="Q43" s="40">
        <v>42984.02561342</v>
      </c>
      <c r="R43" s="42">
        <v>0.2</v>
      </c>
    </row>
    <row r="44" ht="13.5" customHeight="1" spans="1:18">
      <c r="A44" s="36"/>
      <c r="B44" s="36" t="s">
        <v>29</v>
      </c>
      <c r="C44" s="36"/>
      <c r="D44" s="36"/>
      <c r="E44" s="36" t="s">
        <v>5</v>
      </c>
      <c r="F44" s="36"/>
      <c r="G44" s="36" t="s">
        <v>57</v>
      </c>
      <c r="H44" s="36"/>
      <c r="I44" s="36"/>
      <c r="J44" s="36" t="s">
        <v>58</v>
      </c>
      <c r="K44" s="38">
        <v>3</v>
      </c>
      <c r="L44" s="37"/>
      <c r="M44" s="38">
        <v>0</v>
      </c>
      <c r="N44" s="38">
        <v>0</v>
      </c>
      <c r="O44" s="36"/>
      <c r="P44" s="40">
        <v>42984.08760416</v>
      </c>
      <c r="Q44" s="40">
        <v>42984.38523148</v>
      </c>
      <c r="R44" s="42">
        <v>7.15</v>
      </c>
    </row>
    <row r="45" ht="13.5" customHeight="1" spans="1:18">
      <c r="A45" s="36"/>
      <c r="B45" s="36" t="s">
        <v>29</v>
      </c>
      <c r="C45" s="36"/>
      <c r="D45" s="36"/>
      <c r="E45" s="36" t="s">
        <v>5</v>
      </c>
      <c r="F45" s="36"/>
      <c r="G45" s="36" t="s">
        <v>57</v>
      </c>
      <c r="H45" s="36"/>
      <c r="I45" s="36"/>
      <c r="J45" s="36" t="s">
        <v>58</v>
      </c>
      <c r="K45" s="38">
        <v>3</v>
      </c>
      <c r="L45" s="37"/>
      <c r="M45" s="38">
        <v>0</v>
      </c>
      <c r="N45" s="38">
        <v>0</v>
      </c>
      <c r="O45" s="36"/>
      <c r="P45" s="40">
        <v>42984.17545138</v>
      </c>
      <c r="Q45" s="40">
        <v>42984.42449074</v>
      </c>
      <c r="R45" s="42">
        <v>5.983333333333</v>
      </c>
    </row>
    <row r="46" ht="13.5" customHeight="1" spans="1:18">
      <c r="A46" s="36"/>
      <c r="B46" s="36" t="s">
        <v>32</v>
      </c>
      <c r="C46" s="36"/>
      <c r="D46" s="36"/>
      <c r="E46" s="36" t="s">
        <v>7</v>
      </c>
      <c r="F46" s="36"/>
      <c r="G46" s="36" t="s">
        <v>59</v>
      </c>
      <c r="H46" s="36"/>
      <c r="I46" s="36"/>
      <c r="J46" s="36" t="s">
        <v>58</v>
      </c>
      <c r="K46" s="38">
        <v>3</v>
      </c>
      <c r="L46" s="37"/>
      <c r="M46" s="38">
        <v>0</v>
      </c>
      <c r="N46" s="38">
        <v>0</v>
      </c>
      <c r="O46" s="36"/>
      <c r="P46" s="40">
        <v>42984.18795138</v>
      </c>
      <c r="Q46" s="40">
        <v>42984.41836805</v>
      </c>
      <c r="R46" s="42">
        <v>5.533333333333</v>
      </c>
    </row>
    <row r="47" ht="51.75" customHeight="1" spans="1:18">
      <c r="A47" s="36"/>
      <c r="B47" s="36" t="s">
        <v>32</v>
      </c>
      <c r="C47" s="36"/>
      <c r="D47" s="36"/>
      <c r="E47" s="36" t="s">
        <v>7</v>
      </c>
      <c r="F47" s="36"/>
      <c r="G47" s="36" t="s">
        <v>60</v>
      </c>
      <c r="H47" s="36"/>
      <c r="I47" s="39"/>
      <c r="J47" s="36" t="s">
        <v>58</v>
      </c>
      <c r="K47" s="38">
        <v>2</v>
      </c>
      <c r="L47" s="37"/>
      <c r="M47" s="38">
        <v>0</v>
      </c>
      <c r="N47" s="38">
        <v>0</v>
      </c>
      <c r="O47" s="36"/>
      <c r="P47" s="40">
        <v>42984.43239583</v>
      </c>
      <c r="Q47" s="40">
        <v>42984.55978009</v>
      </c>
      <c r="R47" s="42">
        <v>3.05</v>
      </c>
    </row>
    <row r="48" ht="13.5" customHeight="1" spans="1:18">
      <c r="A48" s="36"/>
      <c r="B48" s="36" t="s">
        <v>32</v>
      </c>
      <c r="C48" s="36"/>
      <c r="D48" s="36"/>
      <c r="E48" s="36" t="s">
        <v>7</v>
      </c>
      <c r="F48" s="36"/>
      <c r="G48" s="37"/>
      <c r="H48" s="37"/>
      <c r="I48" s="37"/>
      <c r="J48" s="36" t="s">
        <v>58</v>
      </c>
      <c r="K48" s="38">
        <v>2</v>
      </c>
      <c r="L48" s="37"/>
      <c r="M48" s="38">
        <v>0</v>
      </c>
      <c r="N48" s="38">
        <v>1</v>
      </c>
      <c r="O48" s="36"/>
      <c r="P48" s="40">
        <v>42984.45288194</v>
      </c>
      <c r="Q48" s="40">
        <v>42984.56052083</v>
      </c>
      <c r="R48" s="38">
        <v>0</v>
      </c>
    </row>
    <row r="49" ht="13.5" customHeight="1" spans="1:18">
      <c r="A49" s="36"/>
      <c r="B49" s="36" t="s">
        <v>32</v>
      </c>
      <c r="C49" s="36"/>
      <c r="D49" s="36"/>
      <c r="E49" s="36" t="s">
        <v>7</v>
      </c>
      <c r="F49" s="36"/>
      <c r="G49" s="37"/>
      <c r="H49" s="37"/>
      <c r="I49" s="37"/>
      <c r="J49" s="36" t="s">
        <v>58</v>
      </c>
      <c r="K49" s="38">
        <v>3</v>
      </c>
      <c r="L49" s="37"/>
      <c r="M49" s="38">
        <v>0</v>
      </c>
      <c r="N49" s="38">
        <v>1</v>
      </c>
      <c r="O49" s="36"/>
      <c r="P49" s="40">
        <v>42984.45844907</v>
      </c>
      <c r="Q49" s="40">
        <v>42984.56207175</v>
      </c>
      <c r="R49" s="38">
        <v>0</v>
      </c>
    </row>
    <row r="50" ht="51.75" customHeight="1" spans="1:18">
      <c r="A50" s="36"/>
      <c r="B50" s="36" t="s">
        <v>32</v>
      </c>
      <c r="C50" s="36"/>
      <c r="D50" s="36"/>
      <c r="E50" s="36" t="s">
        <v>7</v>
      </c>
      <c r="F50" s="36"/>
      <c r="G50" s="36" t="s">
        <v>60</v>
      </c>
      <c r="H50" s="36"/>
      <c r="I50" s="39"/>
      <c r="J50" s="36" t="s">
        <v>58</v>
      </c>
      <c r="K50" s="38">
        <v>3</v>
      </c>
      <c r="L50" s="37"/>
      <c r="M50" s="38">
        <v>0</v>
      </c>
      <c r="N50" s="38">
        <v>0</v>
      </c>
      <c r="O50" s="36"/>
      <c r="P50" s="40">
        <v>42984.46607638</v>
      </c>
      <c r="Q50" s="40">
        <v>42984.56866898</v>
      </c>
      <c r="R50" s="42">
        <v>2.566666666666</v>
      </c>
    </row>
    <row r="51" ht="13.5" customHeight="1" spans="1:18">
      <c r="A51" s="36"/>
      <c r="B51" s="36" t="s">
        <v>29</v>
      </c>
      <c r="C51" s="36"/>
      <c r="D51" s="36"/>
      <c r="E51" s="36" t="s">
        <v>7</v>
      </c>
      <c r="F51" s="36"/>
      <c r="G51" s="36" t="s">
        <v>64</v>
      </c>
      <c r="H51" s="36"/>
      <c r="I51" s="36"/>
      <c r="J51" s="36" t="s">
        <v>58</v>
      </c>
      <c r="K51" s="38">
        <v>3</v>
      </c>
      <c r="L51" s="37"/>
      <c r="M51" s="38">
        <v>0</v>
      </c>
      <c r="N51" s="38">
        <v>0</v>
      </c>
      <c r="O51" s="36"/>
      <c r="P51" s="40">
        <v>42984.48594907</v>
      </c>
      <c r="Q51" s="40">
        <v>42984.57628472</v>
      </c>
      <c r="R51" s="42">
        <v>2.383333333333</v>
      </c>
    </row>
    <row r="52" ht="13.5" customHeight="1" spans="1:18">
      <c r="A52" s="36"/>
      <c r="B52" s="36" t="s">
        <v>29</v>
      </c>
      <c r="C52" s="36"/>
      <c r="D52" s="36"/>
      <c r="E52" s="36" t="s">
        <v>5</v>
      </c>
      <c r="F52" s="36"/>
      <c r="G52" s="36" t="s">
        <v>57</v>
      </c>
      <c r="H52" s="36"/>
      <c r="I52" s="36"/>
      <c r="J52" s="36" t="s">
        <v>58</v>
      </c>
      <c r="K52" s="38">
        <v>3</v>
      </c>
      <c r="L52" s="37"/>
      <c r="M52" s="38">
        <v>0</v>
      </c>
      <c r="N52" s="38">
        <v>0</v>
      </c>
      <c r="O52" s="36"/>
      <c r="P52" s="40">
        <v>42984.4865625</v>
      </c>
      <c r="Q52" s="40">
        <v>42984.68254629</v>
      </c>
      <c r="R52" s="42">
        <v>4.7</v>
      </c>
    </row>
    <row r="53" ht="13.5" customHeight="1" spans="1:18">
      <c r="A53" s="36"/>
      <c r="B53" s="36" t="s">
        <v>29</v>
      </c>
      <c r="C53" s="36"/>
      <c r="D53" s="36"/>
      <c r="E53" s="36" t="s">
        <v>5</v>
      </c>
      <c r="F53" s="36"/>
      <c r="G53" s="36" t="s">
        <v>57</v>
      </c>
      <c r="H53" s="36"/>
      <c r="I53" s="36"/>
      <c r="J53" s="36" t="s">
        <v>58</v>
      </c>
      <c r="K53" s="38">
        <v>3</v>
      </c>
      <c r="L53" s="37"/>
      <c r="M53" s="38">
        <v>0</v>
      </c>
      <c r="N53" s="38">
        <v>0</v>
      </c>
      <c r="O53" s="36"/>
      <c r="P53" s="40">
        <v>42984.4865625</v>
      </c>
      <c r="Q53" s="40">
        <v>42984.95255787</v>
      </c>
      <c r="R53" s="42">
        <v>11.183333333333</v>
      </c>
    </row>
    <row r="54" ht="13.5" customHeight="1" spans="1:18">
      <c r="A54" s="36"/>
      <c r="B54" s="36" t="s">
        <v>32</v>
      </c>
      <c r="C54" s="36"/>
      <c r="D54" s="36"/>
      <c r="E54" s="36" t="s">
        <v>7</v>
      </c>
      <c r="F54" s="37"/>
      <c r="G54" s="37"/>
      <c r="H54" s="37"/>
      <c r="I54" s="37"/>
      <c r="J54" s="36" t="s">
        <v>58</v>
      </c>
      <c r="K54" s="38">
        <v>2</v>
      </c>
      <c r="L54" s="37"/>
      <c r="M54" s="38">
        <v>0</v>
      </c>
      <c r="N54" s="38">
        <v>1</v>
      </c>
      <c r="O54" s="36"/>
      <c r="P54" s="40">
        <v>42984.50027777</v>
      </c>
      <c r="Q54" s="40">
        <v>42984.56167824</v>
      </c>
      <c r="R54" s="38">
        <v>0</v>
      </c>
    </row>
    <row r="55" ht="13.5" customHeight="1" spans="1:18">
      <c r="A55" s="36"/>
      <c r="B55" s="36" t="s">
        <v>29</v>
      </c>
      <c r="C55" s="36"/>
      <c r="D55" s="36"/>
      <c r="E55" s="36" t="s">
        <v>5</v>
      </c>
      <c r="F55" s="36"/>
      <c r="G55" s="36" t="s">
        <v>57</v>
      </c>
      <c r="H55" s="36"/>
      <c r="I55" s="36"/>
      <c r="J55" s="36" t="s">
        <v>58</v>
      </c>
      <c r="K55" s="38">
        <v>3</v>
      </c>
      <c r="L55" s="37"/>
      <c r="M55" s="38">
        <v>0</v>
      </c>
      <c r="N55" s="38">
        <v>0</v>
      </c>
      <c r="O55" s="36"/>
      <c r="P55" s="40">
        <v>42984.57442129</v>
      </c>
      <c r="Q55" s="40">
        <v>42984.71695601</v>
      </c>
      <c r="R55" s="42">
        <v>3.416666666666</v>
      </c>
    </row>
    <row r="56" ht="13.5" customHeight="1" spans="1:18">
      <c r="A56" s="36"/>
      <c r="B56" s="36" t="s">
        <v>32</v>
      </c>
      <c r="C56" s="36"/>
      <c r="D56" s="36"/>
      <c r="E56" s="36" t="s">
        <v>7</v>
      </c>
      <c r="F56" s="36"/>
      <c r="G56" s="37"/>
      <c r="H56" s="37"/>
      <c r="I56" s="37"/>
      <c r="J56" s="36" t="s">
        <v>58</v>
      </c>
      <c r="K56" s="38">
        <v>3</v>
      </c>
      <c r="L56" s="37"/>
      <c r="M56" s="38">
        <v>0</v>
      </c>
      <c r="N56" s="38">
        <v>1</v>
      </c>
      <c r="O56" s="36"/>
      <c r="P56" s="40">
        <v>42984.57442129</v>
      </c>
      <c r="Q56" s="40">
        <v>42985.37076388</v>
      </c>
      <c r="R56" s="38">
        <v>0</v>
      </c>
    </row>
    <row r="57" ht="13.5" customHeight="1" spans="1:18">
      <c r="A57" s="36"/>
      <c r="B57" s="36" t="s">
        <v>29</v>
      </c>
      <c r="C57" s="36"/>
      <c r="D57" s="36"/>
      <c r="E57" s="36" t="s">
        <v>5</v>
      </c>
      <c r="F57" s="36"/>
      <c r="G57" s="36" t="s">
        <v>57</v>
      </c>
      <c r="H57" s="36"/>
      <c r="I57" s="36"/>
      <c r="J57" s="36" t="s">
        <v>58</v>
      </c>
      <c r="K57" s="38">
        <v>3</v>
      </c>
      <c r="L57" s="37"/>
      <c r="M57" s="38">
        <v>0</v>
      </c>
      <c r="N57" s="38">
        <v>0</v>
      </c>
      <c r="O57" s="36"/>
      <c r="P57" s="40">
        <v>42984.57442129</v>
      </c>
      <c r="Q57" s="40">
        <v>42984.68100694</v>
      </c>
      <c r="R57" s="42">
        <v>2.566666666666</v>
      </c>
    </row>
    <row r="58" ht="13.5" customHeight="1" spans="1:18">
      <c r="A58" s="36"/>
      <c r="B58" s="36" t="s">
        <v>29</v>
      </c>
      <c r="C58" s="36"/>
      <c r="D58" s="36"/>
      <c r="E58" s="36" t="s">
        <v>5</v>
      </c>
      <c r="F58" s="36"/>
      <c r="G58" s="36" t="s">
        <v>57</v>
      </c>
      <c r="H58" s="36"/>
      <c r="I58" s="36"/>
      <c r="J58" s="36" t="s">
        <v>58</v>
      </c>
      <c r="K58" s="38">
        <v>3</v>
      </c>
      <c r="L58" s="37"/>
      <c r="M58" s="38">
        <v>0</v>
      </c>
      <c r="N58" s="38">
        <v>0</v>
      </c>
      <c r="O58" s="36"/>
      <c r="P58" s="40">
        <v>42984.62337963</v>
      </c>
      <c r="Q58" s="40">
        <v>42984.66878472</v>
      </c>
      <c r="R58" s="42">
        <v>1.083333333333</v>
      </c>
    </row>
    <row r="59" ht="13.5" customHeight="1" spans="1:18">
      <c r="A59" s="36"/>
      <c r="B59" s="36" t="s">
        <v>29</v>
      </c>
      <c r="C59" s="36"/>
      <c r="D59" s="36"/>
      <c r="E59" s="36" t="s">
        <v>5</v>
      </c>
      <c r="F59" s="36"/>
      <c r="G59" s="36" t="s">
        <v>57</v>
      </c>
      <c r="H59" s="36"/>
      <c r="I59" s="36"/>
      <c r="J59" s="36" t="s">
        <v>58</v>
      </c>
      <c r="K59" s="38">
        <v>3</v>
      </c>
      <c r="L59" s="37"/>
      <c r="M59" s="38">
        <v>0</v>
      </c>
      <c r="N59" s="38">
        <v>0</v>
      </c>
      <c r="O59" s="36"/>
      <c r="P59" s="40">
        <v>42984.68796296</v>
      </c>
      <c r="Q59" s="40">
        <v>42984.95319444</v>
      </c>
      <c r="R59" s="42">
        <v>6.366666666666</v>
      </c>
    </row>
    <row r="60" ht="13.5" customHeight="1" spans="1:18">
      <c r="A60" s="36"/>
      <c r="B60" s="36" t="s">
        <v>32</v>
      </c>
      <c r="C60" s="36"/>
      <c r="D60" s="36"/>
      <c r="E60" s="36" t="s">
        <v>6</v>
      </c>
      <c r="F60" s="36"/>
      <c r="G60" s="36" t="s">
        <v>66</v>
      </c>
      <c r="H60" s="36"/>
      <c r="I60" s="36"/>
      <c r="J60" s="36" t="s">
        <v>58</v>
      </c>
      <c r="K60" s="38">
        <v>4</v>
      </c>
      <c r="L60" s="37"/>
      <c r="M60" s="38">
        <v>0</v>
      </c>
      <c r="N60" s="38">
        <v>0</v>
      </c>
      <c r="O60" s="36"/>
      <c r="P60" s="40">
        <v>42984.69850694</v>
      </c>
      <c r="Q60" s="40">
        <v>42991.64648148</v>
      </c>
      <c r="R60" s="42">
        <v>166.933333333333</v>
      </c>
    </row>
    <row r="61" ht="13.5" customHeight="1" spans="1:18">
      <c r="A61" s="36"/>
      <c r="B61" s="36" t="s">
        <v>32</v>
      </c>
      <c r="C61" s="36"/>
      <c r="D61" s="36"/>
      <c r="E61" s="36" t="s">
        <v>6</v>
      </c>
      <c r="F61" s="36"/>
      <c r="G61" s="36" t="s">
        <v>67</v>
      </c>
      <c r="H61" s="36"/>
      <c r="I61" s="36"/>
      <c r="J61" s="36" t="s">
        <v>58</v>
      </c>
      <c r="K61" s="38">
        <v>4</v>
      </c>
      <c r="L61" s="37"/>
      <c r="M61" s="38">
        <v>0</v>
      </c>
      <c r="N61" s="38">
        <v>0</v>
      </c>
      <c r="O61" s="36"/>
      <c r="P61" s="40">
        <v>42984.7278125</v>
      </c>
      <c r="Q61" s="40">
        <v>42991.29282407</v>
      </c>
      <c r="R61" s="42">
        <v>157.75</v>
      </c>
    </row>
    <row r="62" ht="13.5" customHeight="1" spans="1:18">
      <c r="A62" s="36"/>
      <c r="B62" s="36" t="s">
        <v>29</v>
      </c>
      <c r="C62" s="36"/>
      <c r="D62" s="36"/>
      <c r="E62" s="36" t="s">
        <v>5</v>
      </c>
      <c r="F62" s="36"/>
      <c r="G62" s="36" t="s">
        <v>57</v>
      </c>
      <c r="H62" s="36"/>
      <c r="I62" s="36"/>
      <c r="J62" s="36" t="s">
        <v>58</v>
      </c>
      <c r="K62" s="38">
        <v>3</v>
      </c>
      <c r="L62" s="37"/>
      <c r="M62" s="38">
        <v>0</v>
      </c>
      <c r="N62" s="38">
        <v>0</v>
      </c>
      <c r="O62" s="36"/>
      <c r="P62" s="40">
        <v>42984.80497685</v>
      </c>
      <c r="Q62" s="40">
        <v>42984.97186342</v>
      </c>
      <c r="R62" s="38">
        <v>4</v>
      </c>
    </row>
    <row r="63" ht="13.5" customHeight="1" spans="1:18">
      <c r="A63" s="36"/>
      <c r="B63" s="36" t="s">
        <v>29</v>
      </c>
      <c r="C63" s="36"/>
      <c r="D63" s="36"/>
      <c r="E63" s="36" t="s">
        <v>5</v>
      </c>
      <c r="F63" s="36"/>
      <c r="G63" s="36" t="s">
        <v>57</v>
      </c>
      <c r="H63" s="36"/>
      <c r="I63" s="36"/>
      <c r="J63" s="36" t="s">
        <v>58</v>
      </c>
      <c r="K63" s="38">
        <v>3</v>
      </c>
      <c r="L63" s="37"/>
      <c r="M63" s="38">
        <v>0</v>
      </c>
      <c r="N63" s="38">
        <v>0</v>
      </c>
      <c r="O63" s="36"/>
      <c r="P63" s="40">
        <v>42984.81192129</v>
      </c>
      <c r="Q63" s="40">
        <v>42984.98283564</v>
      </c>
      <c r="R63" s="42">
        <v>4.1</v>
      </c>
    </row>
    <row r="64" ht="13.5" customHeight="1" spans="1:18">
      <c r="A64" s="36"/>
      <c r="B64" s="36" t="s">
        <v>29</v>
      </c>
      <c r="C64" s="36"/>
      <c r="D64" s="36"/>
      <c r="E64" s="36" t="s">
        <v>5</v>
      </c>
      <c r="F64" s="36"/>
      <c r="G64" s="36" t="s">
        <v>57</v>
      </c>
      <c r="H64" s="36"/>
      <c r="I64" s="36"/>
      <c r="J64" s="36" t="s">
        <v>58</v>
      </c>
      <c r="K64" s="38">
        <v>3</v>
      </c>
      <c r="L64" s="37"/>
      <c r="M64" s="38">
        <v>0</v>
      </c>
      <c r="N64" s="38">
        <v>0</v>
      </c>
      <c r="O64" s="36"/>
      <c r="P64" s="40">
        <v>42985.01643518</v>
      </c>
      <c r="Q64" s="40">
        <v>42985.01818287</v>
      </c>
      <c r="R64" s="42">
        <v>0.05</v>
      </c>
    </row>
    <row r="65" ht="13.5" customHeight="1" spans="1:18">
      <c r="A65" s="36"/>
      <c r="B65" s="36" t="s">
        <v>29</v>
      </c>
      <c r="C65" s="36"/>
      <c r="D65" s="36"/>
      <c r="E65" s="36" t="s">
        <v>7</v>
      </c>
      <c r="F65" s="36"/>
      <c r="G65" s="36" t="s">
        <v>57</v>
      </c>
      <c r="H65" s="36"/>
      <c r="I65" s="36"/>
      <c r="J65" s="36" t="s">
        <v>58</v>
      </c>
      <c r="K65" s="38">
        <v>3</v>
      </c>
      <c r="L65" s="37"/>
      <c r="M65" s="38">
        <v>0</v>
      </c>
      <c r="N65" s="38">
        <v>0</v>
      </c>
      <c r="O65" s="36"/>
      <c r="P65" s="40">
        <v>42985.08761574</v>
      </c>
      <c r="Q65" s="40">
        <v>42985.41586805</v>
      </c>
      <c r="R65" s="42">
        <v>7.883333333333</v>
      </c>
    </row>
    <row r="66" ht="13.5" customHeight="1" spans="1:18">
      <c r="A66" s="36"/>
      <c r="B66" s="36" t="s">
        <v>29</v>
      </c>
      <c r="C66" s="36"/>
      <c r="D66" s="36"/>
      <c r="E66" s="36" t="s">
        <v>5</v>
      </c>
      <c r="F66" s="36"/>
      <c r="G66" s="36" t="s">
        <v>57</v>
      </c>
      <c r="H66" s="36"/>
      <c r="I66" s="36"/>
      <c r="J66" s="36" t="s">
        <v>58</v>
      </c>
      <c r="K66" s="38">
        <v>3</v>
      </c>
      <c r="L66" s="37"/>
      <c r="M66" s="38">
        <v>0</v>
      </c>
      <c r="N66" s="38">
        <v>0</v>
      </c>
      <c r="O66" s="36"/>
      <c r="P66" s="40">
        <v>42985.19074074</v>
      </c>
      <c r="Q66" s="40">
        <v>42985.72135416</v>
      </c>
      <c r="R66" s="42">
        <v>12.733333333333</v>
      </c>
    </row>
    <row r="67" ht="13.5" customHeight="1" spans="1:18">
      <c r="A67" s="36"/>
      <c r="B67" s="36" t="s">
        <v>29</v>
      </c>
      <c r="C67" s="36"/>
      <c r="D67" s="36"/>
      <c r="E67" s="36" t="s">
        <v>9</v>
      </c>
      <c r="F67" s="36"/>
      <c r="G67" s="36" t="s">
        <v>68</v>
      </c>
      <c r="H67" s="36"/>
      <c r="I67" s="36"/>
      <c r="J67" s="36" t="s">
        <v>58</v>
      </c>
      <c r="K67" s="38">
        <v>3</v>
      </c>
      <c r="L67" s="37"/>
      <c r="M67" s="38">
        <v>0</v>
      </c>
      <c r="N67" s="38">
        <v>0</v>
      </c>
      <c r="O67" s="36"/>
      <c r="P67" s="40">
        <v>42985.22824074</v>
      </c>
      <c r="Q67" s="40">
        <v>42985.23134259</v>
      </c>
      <c r="R67" s="42">
        <v>0.066666666666</v>
      </c>
    </row>
    <row r="68" ht="13.5" customHeight="1" spans="1:18">
      <c r="A68" s="36"/>
      <c r="B68" s="36" t="s">
        <v>32</v>
      </c>
      <c r="C68" s="36"/>
      <c r="D68" s="36"/>
      <c r="E68" s="36" t="s">
        <v>7</v>
      </c>
      <c r="F68" s="36"/>
      <c r="G68" s="36" t="s">
        <v>57</v>
      </c>
      <c r="H68" s="36"/>
      <c r="I68" s="36"/>
      <c r="J68" s="36" t="s">
        <v>58</v>
      </c>
      <c r="K68" s="38">
        <v>3</v>
      </c>
      <c r="L68" s="37"/>
      <c r="M68" s="38">
        <v>0</v>
      </c>
      <c r="N68" s="38">
        <v>0</v>
      </c>
      <c r="O68" s="36"/>
      <c r="P68" s="40">
        <v>42985.4324074</v>
      </c>
      <c r="Q68" s="40">
        <v>42985.59329861</v>
      </c>
      <c r="R68" s="42">
        <v>3.866666666666</v>
      </c>
    </row>
    <row r="69" ht="39" customHeight="1" spans="1:18">
      <c r="A69" s="36"/>
      <c r="B69" s="36" t="s">
        <v>29</v>
      </c>
      <c r="C69" s="36"/>
      <c r="D69" s="36"/>
      <c r="E69" s="36" t="s">
        <v>8</v>
      </c>
      <c r="F69" s="36"/>
      <c r="G69" s="36" t="s">
        <v>64</v>
      </c>
      <c r="H69" s="36"/>
      <c r="I69" s="39"/>
      <c r="J69" s="36" t="s">
        <v>58</v>
      </c>
      <c r="K69" s="38">
        <v>3</v>
      </c>
      <c r="L69" s="37"/>
      <c r="M69" s="38">
        <v>0</v>
      </c>
      <c r="N69" s="38">
        <v>0</v>
      </c>
      <c r="O69" s="36"/>
      <c r="P69" s="40">
        <v>42985.43435185</v>
      </c>
      <c r="Q69" s="40">
        <v>42986.50200231</v>
      </c>
      <c r="R69" s="42">
        <v>25.833333333333</v>
      </c>
    </row>
    <row r="70" ht="13.5" customHeight="1" spans="1:18">
      <c r="A70" s="36"/>
      <c r="B70" s="36" t="s">
        <v>29</v>
      </c>
      <c r="C70" s="36"/>
      <c r="D70" s="36"/>
      <c r="E70" s="36" t="s">
        <v>5</v>
      </c>
      <c r="F70" s="36"/>
      <c r="G70" s="36" t="s">
        <v>68</v>
      </c>
      <c r="H70" s="36"/>
      <c r="I70" s="36"/>
      <c r="J70" s="36" t="s">
        <v>58</v>
      </c>
      <c r="K70" s="38">
        <v>3</v>
      </c>
      <c r="L70" s="37"/>
      <c r="M70" s="38">
        <v>0</v>
      </c>
      <c r="N70" s="38">
        <v>0</v>
      </c>
      <c r="O70" s="36"/>
      <c r="P70" s="40">
        <v>42985.7355324</v>
      </c>
      <c r="Q70" s="40">
        <v>42985.97805555</v>
      </c>
      <c r="R70" s="42">
        <v>5.816666666666</v>
      </c>
    </row>
    <row r="71" ht="13.5" customHeight="1" spans="1:18">
      <c r="A71" s="36"/>
      <c r="B71" s="36" t="s">
        <v>29</v>
      </c>
      <c r="C71" s="36"/>
      <c r="D71" s="36"/>
      <c r="E71" s="36" t="s">
        <v>5</v>
      </c>
      <c r="F71" s="36"/>
      <c r="G71" s="36" t="s">
        <v>57</v>
      </c>
      <c r="H71" s="36"/>
      <c r="I71" s="36"/>
      <c r="J71" s="36" t="s">
        <v>58</v>
      </c>
      <c r="K71" s="38">
        <v>3</v>
      </c>
      <c r="L71" s="37"/>
      <c r="M71" s="38">
        <v>0</v>
      </c>
      <c r="N71" s="38">
        <v>0</v>
      </c>
      <c r="O71" s="36"/>
      <c r="P71" s="40">
        <v>42985.80497685</v>
      </c>
      <c r="Q71" s="40">
        <v>42985.92131944</v>
      </c>
      <c r="R71" s="42">
        <v>2.8</v>
      </c>
    </row>
    <row r="72" ht="13.5" customHeight="1" spans="1:18">
      <c r="A72" s="36"/>
      <c r="B72" s="36" t="s">
        <v>29</v>
      </c>
      <c r="C72" s="36"/>
      <c r="D72" s="36"/>
      <c r="E72" s="36" t="s">
        <v>5</v>
      </c>
      <c r="F72" s="36"/>
      <c r="G72" s="36" t="s">
        <v>57</v>
      </c>
      <c r="H72" s="36"/>
      <c r="I72" s="36"/>
      <c r="J72" s="36" t="s">
        <v>58</v>
      </c>
      <c r="K72" s="38">
        <v>3</v>
      </c>
      <c r="L72" s="37"/>
      <c r="M72" s="38">
        <v>0</v>
      </c>
      <c r="N72" s="38">
        <v>0</v>
      </c>
      <c r="O72" s="36"/>
      <c r="P72" s="40">
        <v>42985.80497685</v>
      </c>
      <c r="Q72" s="40">
        <v>42985.91921296</v>
      </c>
      <c r="R72" s="42">
        <v>2.75</v>
      </c>
    </row>
    <row r="73" ht="13.5" customHeight="1" spans="1:18">
      <c r="A73" s="36"/>
      <c r="B73" s="36" t="s">
        <v>29</v>
      </c>
      <c r="C73" s="36"/>
      <c r="D73" s="36"/>
      <c r="E73" s="36" t="s">
        <v>5</v>
      </c>
      <c r="F73" s="36"/>
      <c r="G73" s="36" t="s">
        <v>57</v>
      </c>
      <c r="H73" s="36"/>
      <c r="I73" s="36"/>
      <c r="J73" s="36" t="s">
        <v>58</v>
      </c>
      <c r="K73" s="38">
        <v>3</v>
      </c>
      <c r="L73" s="37"/>
      <c r="M73" s="38">
        <v>0</v>
      </c>
      <c r="N73" s="38">
        <v>0</v>
      </c>
      <c r="O73" s="36"/>
      <c r="P73" s="40">
        <v>42985.80844907</v>
      </c>
      <c r="Q73" s="40">
        <v>42985.92072916</v>
      </c>
      <c r="R73" s="42">
        <v>2.7</v>
      </c>
    </row>
    <row r="74" ht="13.5" customHeight="1" spans="1:18">
      <c r="A74" s="36"/>
      <c r="B74" s="36" t="s">
        <v>29</v>
      </c>
      <c r="C74" s="36"/>
      <c r="D74" s="36"/>
      <c r="E74" s="36" t="s">
        <v>5</v>
      </c>
      <c r="F74" s="36"/>
      <c r="G74" s="36" t="s">
        <v>57</v>
      </c>
      <c r="H74" s="36"/>
      <c r="I74" s="36"/>
      <c r="J74" s="36" t="s">
        <v>58</v>
      </c>
      <c r="K74" s="38">
        <v>3</v>
      </c>
      <c r="L74" s="37"/>
      <c r="M74" s="38">
        <v>0</v>
      </c>
      <c r="N74" s="38">
        <v>0</v>
      </c>
      <c r="O74" s="36"/>
      <c r="P74" s="40">
        <v>42985.83275463</v>
      </c>
      <c r="Q74" s="40">
        <v>42985.91993055</v>
      </c>
      <c r="R74" s="42">
        <v>2.1</v>
      </c>
    </row>
    <row r="75" ht="13.5" customHeight="1" spans="1:18">
      <c r="A75" s="36"/>
      <c r="B75" s="36" t="s">
        <v>29</v>
      </c>
      <c r="C75" s="36"/>
      <c r="D75" s="36"/>
      <c r="E75" s="36" t="s">
        <v>5</v>
      </c>
      <c r="F75" s="36"/>
      <c r="G75" s="36" t="s">
        <v>57</v>
      </c>
      <c r="H75" s="36"/>
      <c r="I75" s="36"/>
      <c r="J75" s="36" t="s">
        <v>58</v>
      </c>
      <c r="K75" s="38">
        <v>3</v>
      </c>
      <c r="L75" s="37"/>
      <c r="M75" s="38">
        <v>0</v>
      </c>
      <c r="N75" s="38">
        <v>0</v>
      </c>
      <c r="O75" s="36"/>
      <c r="P75" s="40">
        <v>42985.8855324</v>
      </c>
      <c r="Q75" s="40">
        <v>42986.38275463</v>
      </c>
      <c r="R75" s="42">
        <v>11.933333333333</v>
      </c>
    </row>
    <row r="76" ht="13.5" customHeight="1" spans="1:18">
      <c r="A76" s="36"/>
      <c r="B76" s="36" t="s">
        <v>32</v>
      </c>
      <c r="C76" s="36"/>
      <c r="D76" s="36"/>
      <c r="E76" s="36" t="s">
        <v>7</v>
      </c>
      <c r="F76" s="36"/>
      <c r="G76" s="36" t="s">
        <v>63</v>
      </c>
      <c r="H76" s="36"/>
      <c r="I76" s="36"/>
      <c r="J76" s="36" t="s">
        <v>58</v>
      </c>
      <c r="K76" s="38">
        <v>3</v>
      </c>
      <c r="L76" s="37"/>
      <c r="M76" s="38">
        <v>0</v>
      </c>
      <c r="N76" s="38">
        <v>0</v>
      </c>
      <c r="O76" s="36"/>
      <c r="P76" s="40">
        <v>42985.89942129</v>
      </c>
      <c r="Q76" s="40">
        <v>42985.99851851</v>
      </c>
      <c r="R76" s="42">
        <v>2.383333333333</v>
      </c>
    </row>
    <row r="77" ht="13.5" customHeight="1" spans="1:18">
      <c r="A77" s="36"/>
      <c r="B77" s="36" t="s">
        <v>32</v>
      </c>
      <c r="C77" s="36"/>
      <c r="D77" s="36"/>
      <c r="E77" s="36" t="s">
        <v>7</v>
      </c>
      <c r="F77" s="36"/>
      <c r="G77" s="36" t="s">
        <v>63</v>
      </c>
      <c r="H77" s="36"/>
      <c r="I77" s="36"/>
      <c r="J77" s="36" t="s">
        <v>58</v>
      </c>
      <c r="K77" s="38">
        <v>3</v>
      </c>
      <c r="L77" s="37"/>
      <c r="M77" s="38">
        <v>0</v>
      </c>
      <c r="N77" s="38">
        <v>0</v>
      </c>
      <c r="O77" s="36"/>
      <c r="P77" s="40">
        <v>42985.90636574</v>
      </c>
      <c r="Q77" s="40">
        <v>42986.00241898</v>
      </c>
      <c r="R77" s="42">
        <v>2.3</v>
      </c>
    </row>
    <row r="78" ht="13.5" customHeight="1" spans="1:18">
      <c r="A78" s="36"/>
      <c r="B78" s="36" t="s">
        <v>29</v>
      </c>
      <c r="C78" s="36"/>
      <c r="D78" s="36"/>
      <c r="E78" s="36" t="s">
        <v>5</v>
      </c>
      <c r="F78" s="36"/>
      <c r="G78" s="36" t="s">
        <v>57</v>
      </c>
      <c r="H78" s="36"/>
      <c r="I78" s="36"/>
      <c r="J78" s="36" t="s">
        <v>58</v>
      </c>
      <c r="K78" s="38">
        <v>3</v>
      </c>
      <c r="L78" s="37"/>
      <c r="M78" s="38">
        <v>0</v>
      </c>
      <c r="N78" s="38">
        <v>0</v>
      </c>
      <c r="O78" s="36"/>
      <c r="P78" s="40">
        <v>42986.01712963</v>
      </c>
      <c r="Q78" s="40">
        <v>42986.02003472</v>
      </c>
      <c r="R78" s="42">
        <v>0.066666666666</v>
      </c>
    </row>
    <row r="79" ht="13.5" customHeight="1" spans="1:18">
      <c r="A79" s="36"/>
      <c r="B79" s="36" t="s">
        <v>29</v>
      </c>
      <c r="C79" s="36"/>
      <c r="D79" s="36"/>
      <c r="E79" s="36" t="s">
        <v>5</v>
      </c>
      <c r="F79" s="36"/>
      <c r="G79" s="36" t="s">
        <v>57</v>
      </c>
      <c r="H79" s="36"/>
      <c r="I79" s="36"/>
      <c r="J79" s="36" t="s">
        <v>58</v>
      </c>
      <c r="K79" s="38">
        <v>3</v>
      </c>
      <c r="L79" s="37"/>
      <c r="M79" s="38">
        <v>0</v>
      </c>
      <c r="N79" s="38">
        <v>0</v>
      </c>
      <c r="O79" s="36"/>
      <c r="P79" s="40">
        <v>42986.08762731</v>
      </c>
      <c r="Q79" s="40">
        <v>42986.09224537</v>
      </c>
      <c r="R79" s="42">
        <v>0.116666666666</v>
      </c>
    </row>
    <row r="80" ht="13.5" customHeight="1" spans="1:18">
      <c r="A80" s="36"/>
      <c r="B80" s="36" t="s">
        <v>29</v>
      </c>
      <c r="C80" s="36"/>
      <c r="D80" s="36"/>
      <c r="E80" s="36" t="s">
        <v>5</v>
      </c>
      <c r="F80" s="36"/>
      <c r="G80" s="36" t="s">
        <v>57</v>
      </c>
      <c r="H80" s="36"/>
      <c r="I80" s="36"/>
      <c r="J80" s="36" t="s">
        <v>58</v>
      </c>
      <c r="K80" s="38">
        <v>3</v>
      </c>
      <c r="L80" s="37"/>
      <c r="M80" s="38">
        <v>0</v>
      </c>
      <c r="N80" s="38">
        <v>0</v>
      </c>
      <c r="O80" s="36"/>
      <c r="P80" s="40">
        <v>42986.18971064</v>
      </c>
      <c r="Q80" s="40">
        <v>42986.67752314</v>
      </c>
      <c r="R80" s="42">
        <v>11.7</v>
      </c>
    </row>
    <row r="81" ht="13.5" customHeight="1" spans="1:18">
      <c r="A81" s="36"/>
      <c r="B81" s="36" t="s">
        <v>29</v>
      </c>
      <c r="C81" s="36"/>
      <c r="D81" s="36"/>
      <c r="E81" s="36" t="s">
        <v>5</v>
      </c>
      <c r="F81" s="36"/>
      <c r="G81" s="36" t="s">
        <v>57</v>
      </c>
      <c r="H81" s="36"/>
      <c r="I81" s="36"/>
      <c r="J81" s="36" t="s">
        <v>58</v>
      </c>
      <c r="K81" s="38">
        <v>3</v>
      </c>
      <c r="L81" s="37"/>
      <c r="M81" s="38">
        <v>0</v>
      </c>
      <c r="N81" s="38">
        <v>0</v>
      </c>
      <c r="O81" s="36"/>
      <c r="P81" s="40">
        <v>42986.27373842</v>
      </c>
      <c r="Q81" s="40">
        <v>42986.67333333</v>
      </c>
      <c r="R81" s="42">
        <v>9.583333333333</v>
      </c>
    </row>
    <row r="82" ht="13.5" customHeight="1" spans="1:18">
      <c r="A82" s="36"/>
      <c r="B82" s="36" t="s">
        <v>29</v>
      </c>
      <c r="C82" s="36"/>
      <c r="D82" s="36"/>
      <c r="E82" s="36" t="s">
        <v>5</v>
      </c>
      <c r="F82" s="36"/>
      <c r="G82" s="36" t="s">
        <v>57</v>
      </c>
      <c r="H82" s="36"/>
      <c r="I82" s="36"/>
      <c r="J82" s="36" t="s">
        <v>58</v>
      </c>
      <c r="K82" s="38">
        <v>3</v>
      </c>
      <c r="L82" s="37"/>
      <c r="M82" s="38">
        <v>0</v>
      </c>
      <c r="N82" s="38">
        <v>0</v>
      </c>
      <c r="O82" s="36"/>
      <c r="P82" s="40">
        <v>42986.28207175</v>
      </c>
      <c r="Q82" s="40">
        <v>42986.41578703</v>
      </c>
      <c r="R82" s="42">
        <v>3.216666666666</v>
      </c>
    </row>
    <row r="83" ht="13.5" customHeight="1" spans="1:18">
      <c r="A83" s="36"/>
      <c r="B83" s="36" t="s">
        <v>32</v>
      </c>
      <c r="C83" s="36"/>
      <c r="D83" s="36"/>
      <c r="E83" s="36" t="s">
        <v>6</v>
      </c>
      <c r="F83" s="36"/>
      <c r="G83" s="36" t="s">
        <v>60</v>
      </c>
      <c r="H83" s="36"/>
      <c r="I83" s="36"/>
      <c r="J83" s="36" t="s">
        <v>58</v>
      </c>
      <c r="K83" s="38">
        <v>3</v>
      </c>
      <c r="L83" s="37"/>
      <c r="M83" s="38">
        <v>0</v>
      </c>
      <c r="N83" s="38">
        <v>0</v>
      </c>
      <c r="O83" s="36"/>
      <c r="P83" s="40">
        <v>42986.31265046</v>
      </c>
      <c r="Q83" s="40">
        <v>42986.6534375</v>
      </c>
      <c r="R83" s="42">
        <v>8.433333333333</v>
      </c>
    </row>
    <row r="84" ht="13.5" customHeight="1" spans="1:18">
      <c r="A84" s="36"/>
      <c r="B84" s="36" t="s">
        <v>29</v>
      </c>
      <c r="C84" s="36"/>
      <c r="D84" s="36"/>
      <c r="E84" s="36" t="s">
        <v>5</v>
      </c>
      <c r="F84" s="36"/>
      <c r="G84" s="36" t="s">
        <v>57</v>
      </c>
      <c r="H84" s="36"/>
      <c r="I84" s="36"/>
      <c r="J84" s="36" t="s">
        <v>58</v>
      </c>
      <c r="K84" s="38">
        <v>3</v>
      </c>
      <c r="L84" s="37"/>
      <c r="M84" s="38">
        <v>0</v>
      </c>
      <c r="N84" s="38">
        <v>0</v>
      </c>
      <c r="O84" s="36"/>
      <c r="P84" s="40">
        <v>42986.4983912</v>
      </c>
      <c r="Q84" s="40">
        <v>42986.61748842</v>
      </c>
      <c r="R84" s="42">
        <v>2.866666666666</v>
      </c>
    </row>
    <row r="85" ht="102.75" customHeight="1" spans="1:18">
      <c r="A85" s="36"/>
      <c r="B85" s="36" t="s">
        <v>29</v>
      </c>
      <c r="C85" s="36"/>
      <c r="D85" s="36"/>
      <c r="E85" s="36" t="s">
        <v>7</v>
      </c>
      <c r="F85" s="36"/>
      <c r="G85" s="36" t="s">
        <v>60</v>
      </c>
      <c r="H85" s="36"/>
      <c r="I85" s="39"/>
      <c r="J85" s="36" t="s">
        <v>58</v>
      </c>
      <c r="K85" s="38">
        <v>4</v>
      </c>
      <c r="L85" s="37"/>
      <c r="M85" s="38">
        <v>0</v>
      </c>
      <c r="N85" s="38">
        <v>0</v>
      </c>
      <c r="O85" s="36"/>
      <c r="P85" s="40">
        <v>42986.50660879</v>
      </c>
      <c r="Q85" s="40">
        <v>42992.73130787</v>
      </c>
      <c r="R85" s="42">
        <v>149.733333333333</v>
      </c>
    </row>
    <row r="86" ht="13.5" customHeight="1" spans="1:18">
      <c r="A86" s="36"/>
      <c r="B86" s="36" t="s">
        <v>29</v>
      </c>
      <c r="C86" s="36"/>
      <c r="D86" s="36"/>
      <c r="E86" s="36" t="s">
        <v>5</v>
      </c>
      <c r="F86" s="36"/>
      <c r="G86" s="37"/>
      <c r="H86" s="37"/>
      <c r="I86" s="37"/>
      <c r="J86" s="36" t="s">
        <v>58</v>
      </c>
      <c r="K86" s="38">
        <v>3</v>
      </c>
      <c r="L86" s="37"/>
      <c r="M86" s="38">
        <v>0</v>
      </c>
      <c r="N86" s="38">
        <v>1</v>
      </c>
      <c r="O86" s="36"/>
      <c r="P86" s="40">
        <v>42986.60916666</v>
      </c>
      <c r="Q86" s="40">
        <v>42986.61765046</v>
      </c>
      <c r="R86" s="38">
        <v>0</v>
      </c>
    </row>
    <row r="87" ht="13.5" customHeight="1" spans="1:18">
      <c r="A87" s="36"/>
      <c r="B87" s="36" t="s">
        <v>29</v>
      </c>
      <c r="C87" s="36"/>
      <c r="D87" s="36"/>
      <c r="E87" s="36" t="s">
        <v>5</v>
      </c>
      <c r="F87" s="36"/>
      <c r="G87" s="36" t="s">
        <v>69</v>
      </c>
      <c r="H87" s="36"/>
      <c r="I87" s="36"/>
      <c r="J87" s="36" t="s">
        <v>58</v>
      </c>
      <c r="K87" s="38">
        <v>3</v>
      </c>
      <c r="L87" s="37"/>
      <c r="M87" s="38">
        <v>0</v>
      </c>
      <c r="N87" s="38">
        <v>0</v>
      </c>
      <c r="O87" s="36"/>
      <c r="P87" s="40">
        <v>42986.62746527</v>
      </c>
      <c r="Q87" s="40">
        <v>42986.67197916</v>
      </c>
      <c r="R87" s="42">
        <v>1.133333333333</v>
      </c>
    </row>
    <row r="88" ht="13.5" customHeight="1" spans="1:18">
      <c r="A88" s="36"/>
      <c r="B88" s="36" t="s">
        <v>29</v>
      </c>
      <c r="C88" s="36"/>
      <c r="D88" s="36"/>
      <c r="E88" s="36" t="s">
        <v>5</v>
      </c>
      <c r="F88" s="36"/>
      <c r="G88" s="36" t="s">
        <v>57</v>
      </c>
      <c r="H88" s="36"/>
      <c r="I88" s="36"/>
      <c r="J88" s="36" t="s">
        <v>58</v>
      </c>
      <c r="K88" s="38">
        <v>3</v>
      </c>
      <c r="L88" s="37"/>
      <c r="M88" s="38">
        <v>0</v>
      </c>
      <c r="N88" s="38">
        <v>0</v>
      </c>
      <c r="O88" s="36"/>
      <c r="P88" s="40">
        <v>42986.80498842</v>
      </c>
      <c r="Q88" s="40">
        <v>42987.465625</v>
      </c>
      <c r="R88" s="42">
        <v>15.85</v>
      </c>
    </row>
    <row r="89" ht="13.5" customHeight="1" spans="1:18">
      <c r="A89" s="36"/>
      <c r="B89" s="36" t="s">
        <v>29</v>
      </c>
      <c r="C89" s="36"/>
      <c r="D89" s="36"/>
      <c r="E89" s="36" t="s">
        <v>5</v>
      </c>
      <c r="F89" s="36"/>
      <c r="G89" s="36" t="s">
        <v>57</v>
      </c>
      <c r="H89" s="36"/>
      <c r="I89" s="36"/>
      <c r="J89" s="36" t="s">
        <v>58</v>
      </c>
      <c r="K89" s="38">
        <v>3</v>
      </c>
      <c r="L89" s="37"/>
      <c r="M89" s="38">
        <v>0</v>
      </c>
      <c r="N89" s="38">
        <v>0</v>
      </c>
      <c r="O89" s="36"/>
      <c r="P89" s="40">
        <v>42986.80498842</v>
      </c>
      <c r="Q89" s="40">
        <v>42986.83202546</v>
      </c>
      <c r="R89" s="42">
        <v>0.65</v>
      </c>
    </row>
    <row r="90" ht="13.5" customHeight="1" spans="1:18">
      <c r="A90" s="36"/>
      <c r="B90" s="36" t="s">
        <v>29</v>
      </c>
      <c r="C90" s="36"/>
      <c r="D90" s="36"/>
      <c r="E90" s="36" t="s">
        <v>5</v>
      </c>
      <c r="F90" s="36"/>
      <c r="G90" s="36" t="s">
        <v>57</v>
      </c>
      <c r="H90" s="36"/>
      <c r="I90" s="36"/>
      <c r="J90" s="36" t="s">
        <v>58</v>
      </c>
      <c r="K90" s="38">
        <v>3</v>
      </c>
      <c r="L90" s="37"/>
      <c r="M90" s="38">
        <v>0</v>
      </c>
      <c r="N90" s="38">
        <v>0</v>
      </c>
      <c r="O90" s="36"/>
      <c r="P90" s="40">
        <v>42987.03554398</v>
      </c>
      <c r="Q90" s="40">
        <v>42987.47087963</v>
      </c>
      <c r="R90" s="42">
        <v>10.45</v>
      </c>
    </row>
    <row r="91" ht="13.5" customHeight="1" spans="1:18">
      <c r="A91" s="36"/>
      <c r="B91" s="36" t="s">
        <v>29</v>
      </c>
      <c r="C91" s="36"/>
      <c r="D91" s="36"/>
      <c r="E91" s="36" t="s">
        <v>5</v>
      </c>
      <c r="F91" s="36"/>
      <c r="G91" s="36" t="s">
        <v>57</v>
      </c>
      <c r="H91" s="36"/>
      <c r="I91" s="36"/>
      <c r="J91" s="36" t="s">
        <v>58</v>
      </c>
      <c r="K91" s="38">
        <v>3</v>
      </c>
      <c r="L91" s="37"/>
      <c r="M91" s="38">
        <v>0</v>
      </c>
      <c r="N91" s="38">
        <v>0</v>
      </c>
      <c r="O91" s="36"/>
      <c r="P91" s="40">
        <v>42987.08762731</v>
      </c>
      <c r="Q91" s="40">
        <v>42987.46759259</v>
      </c>
      <c r="R91" s="42">
        <v>9.116666666666</v>
      </c>
    </row>
    <row r="92" ht="13.5" customHeight="1" spans="1:18">
      <c r="A92" s="36"/>
      <c r="B92" s="36" t="s">
        <v>29</v>
      </c>
      <c r="C92" s="36"/>
      <c r="D92" s="36"/>
      <c r="E92" s="36" t="s">
        <v>5</v>
      </c>
      <c r="F92" s="36"/>
      <c r="G92" s="36" t="s">
        <v>57</v>
      </c>
      <c r="H92" s="36"/>
      <c r="I92" s="36"/>
      <c r="J92" s="36" t="s">
        <v>58</v>
      </c>
      <c r="K92" s="38">
        <v>3</v>
      </c>
      <c r="L92" s="37"/>
      <c r="M92" s="38">
        <v>0</v>
      </c>
      <c r="N92" s="38">
        <v>0</v>
      </c>
      <c r="O92" s="36"/>
      <c r="P92" s="40">
        <v>42987.27130787</v>
      </c>
      <c r="Q92" s="40">
        <v>42987.46702546</v>
      </c>
      <c r="R92" s="42">
        <v>4.7</v>
      </c>
    </row>
    <row r="93" ht="13.5" customHeight="1" spans="1:18">
      <c r="A93" s="36"/>
      <c r="B93" s="36" t="s">
        <v>29</v>
      </c>
      <c r="C93" s="36"/>
      <c r="D93" s="36"/>
      <c r="E93" s="36" t="s">
        <v>5</v>
      </c>
      <c r="F93" s="36"/>
      <c r="G93" s="36" t="s">
        <v>57</v>
      </c>
      <c r="H93" s="36"/>
      <c r="I93" s="36"/>
      <c r="J93" s="36" t="s">
        <v>58</v>
      </c>
      <c r="K93" s="38">
        <v>4</v>
      </c>
      <c r="L93" s="37"/>
      <c r="M93" s="38">
        <v>0</v>
      </c>
      <c r="N93" s="38">
        <v>0</v>
      </c>
      <c r="O93" s="36"/>
      <c r="P93" s="40">
        <v>42987.44491898</v>
      </c>
      <c r="Q93" s="40">
        <v>42988.48607638</v>
      </c>
      <c r="R93" s="42">
        <v>24.983333333333</v>
      </c>
    </row>
    <row r="94" ht="13.5" customHeight="1" spans="1:18">
      <c r="A94" s="36"/>
      <c r="B94" s="36" t="s">
        <v>29</v>
      </c>
      <c r="C94" s="36"/>
      <c r="D94" s="36"/>
      <c r="E94" s="36" t="s">
        <v>5</v>
      </c>
      <c r="F94" s="36"/>
      <c r="G94" s="36" t="s">
        <v>57</v>
      </c>
      <c r="H94" s="36"/>
      <c r="I94" s="36"/>
      <c r="J94" s="36" t="s">
        <v>58</v>
      </c>
      <c r="K94" s="38">
        <v>3</v>
      </c>
      <c r="L94" s="37"/>
      <c r="M94" s="38">
        <v>0</v>
      </c>
      <c r="N94" s="38">
        <v>0</v>
      </c>
      <c r="O94" s="36"/>
      <c r="P94" s="40">
        <v>42987.74111111</v>
      </c>
      <c r="Q94" s="40">
        <v>42987.87418981</v>
      </c>
      <c r="R94" s="42">
        <v>3.2</v>
      </c>
    </row>
    <row r="95" ht="13.5" customHeight="1" spans="1:18">
      <c r="A95" s="36"/>
      <c r="B95" s="36" t="s">
        <v>29</v>
      </c>
      <c r="C95" s="36"/>
      <c r="D95" s="36"/>
      <c r="E95" s="36" t="s">
        <v>5</v>
      </c>
      <c r="F95" s="36"/>
      <c r="G95" s="36" t="s">
        <v>57</v>
      </c>
      <c r="H95" s="36"/>
      <c r="I95" s="36"/>
      <c r="J95" s="36" t="s">
        <v>58</v>
      </c>
      <c r="K95" s="38">
        <v>4</v>
      </c>
      <c r="L95" s="37"/>
      <c r="M95" s="38">
        <v>0</v>
      </c>
      <c r="N95" s="38">
        <v>0</v>
      </c>
      <c r="O95" s="36"/>
      <c r="P95" s="40">
        <v>42987.88555555</v>
      </c>
      <c r="Q95" s="40">
        <v>42988.4030324</v>
      </c>
      <c r="R95" s="42">
        <v>12.416666666666</v>
      </c>
    </row>
    <row r="96" ht="13.5" customHeight="1" spans="1:18">
      <c r="A96" s="36"/>
      <c r="B96" s="36" t="s">
        <v>32</v>
      </c>
      <c r="C96" s="36"/>
      <c r="D96" s="36"/>
      <c r="E96" s="36" t="s">
        <v>7</v>
      </c>
      <c r="F96" s="36"/>
      <c r="G96" s="36" t="s">
        <v>63</v>
      </c>
      <c r="H96" s="36"/>
      <c r="I96" s="36"/>
      <c r="J96" s="36" t="s">
        <v>58</v>
      </c>
      <c r="K96" s="38">
        <v>3</v>
      </c>
      <c r="L96" s="37"/>
      <c r="M96" s="38">
        <v>0</v>
      </c>
      <c r="N96" s="38">
        <v>0</v>
      </c>
      <c r="O96" s="36"/>
      <c r="P96" s="40">
        <v>42987.89354166</v>
      </c>
      <c r="Q96" s="40">
        <v>42988.40130787</v>
      </c>
      <c r="R96" s="42">
        <v>12.183333333333</v>
      </c>
    </row>
    <row r="97" ht="13.5" customHeight="1" spans="1:18">
      <c r="A97" s="36"/>
      <c r="B97" s="36" t="s">
        <v>32</v>
      </c>
      <c r="C97" s="36"/>
      <c r="D97" s="36"/>
      <c r="E97" s="36" t="s">
        <v>7</v>
      </c>
      <c r="F97" s="36"/>
      <c r="G97" s="36" t="s">
        <v>57</v>
      </c>
      <c r="H97" s="36"/>
      <c r="I97" s="36"/>
      <c r="J97" s="36" t="s">
        <v>58</v>
      </c>
      <c r="K97" s="38">
        <v>3</v>
      </c>
      <c r="L97" s="37"/>
      <c r="M97" s="38">
        <v>0</v>
      </c>
      <c r="N97" s="38">
        <v>0</v>
      </c>
      <c r="O97" s="36"/>
      <c r="P97" s="40">
        <v>42987.89597222</v>
      </c>
      <c r="Q97" s="40">
        <v>42988.40013888</v>
      </c>
      <c r="R97" s="42">
        <v>12.1</v>
      </c>
    </row>
    <row r="98" ht="13.5" customHeight="1" spans="1:18">
      <c r="A98" s="36"/>
      <c r="B98" s="36" t="s">
        <v>29</v>
      </c>
      <c r="C98" s="36"/>
      <c r="D98" s="36"/>
      <c r="E98" s="36" t="s">
        <v>5</v>
      </c>
      <c r="F98" s="36"/>
      <c r="G98" s="36" t="s">
        <v>57</v>
      </c>
      <c r="H98" s="36"/>
      <c r="I98" s="36"/>
      <c r="J98" s="36" t="s">
        <v>58</v>
      </c>
      <c r="K98" s="38">
        <v>3</v>
      </c>
      <c r="L98" s="37"/>
      <c r="M98" s="38">
        <v>0</v>
      </c>
      <c r="N98" s="38">
        <v>0</v>
      </c>
      <c r="O98" s="36"/>
      <c r="P98" s="40">
        <v>42988.0175</v>
      </c>
      <c r="Q98" s="40">
        <v>42988.40388888</v>
      </c>
      <c r="R98" s="42">
        <v>9.266666666666</v>
      </c>
    </row>
    <row r="99" ht="13.5" customHeight="1" spans="1:18">
      <c r="A99" s="36"/>
      <c r="B99" s="36" t="s">
        <v>29</v>
      </c>
      <c r="C99" s="36"/>
      <c r="D99" s="36"/>
      <c r="E99" s="36" t="s">
        <v>5</v>
      </c>
      <c r="F99" s="36"/>
      <c r="G99" s="36" t="s">
        <v>57</v>
      </c>
      <c r="H99" s="36"/>
      <c r="I99" s="36"/>
      <c r="J99" s="36" t="s">
        <v>58</v>
      </c>
      <c r="K99" s="38">
        <v>3</v>
      </c>
      <c r="L99" s="37"/>
      <c r="M99" s="38">
        <v>0</v>
      </c>
      <c r="N99" s="38">
        <v>0</v>
      </c>
      <c r="O99" s="36"/>
      <c r="P99" s="40">
        <v>42988.07444444</v>
      </c>
      <c r="Q99" s="40">
        <v>42988.40472222</v>
      </c>
      <c r="R99" s="42">
        <v>7.933333333333</v>
      </c>
    </row>
    <row r="100" ht="13.5" customHeight="1" spans="1:18">
      <c r="A100" s="36"/>
      <c r="B100" s="36" t="s">
        <v>29</v>
      </c>
      <c r="C100" s="36"/>
      <c r="D100" s="36"/>
      <c r="E100" s="36" t="s">
        <v>5</v>
      </c>
      <c r="F100" s="36"/>
      <c r="G100" s="36" t="s">
        <v>57</v>
      </c>
      <c r="H100" s="36"/>
      <c r="I100" s="36"/>
      <c r="J100" s="36" t="s">
        <v>58</v>
      </c>
      <c r="K100" s="38">
        <v>3</v>
      </c>
      <c r="L100" s="37"/>
      <c r="M100" s="38">
        <v>0</v>
      </c>
      <c r="N100" s="38">
        <v>0</v>
      </c>
      <c r="O100" s="36"/>
      <c r="P100" s="40">
        <v>42988.08763888</v>
      </c>
      <c r="Q100" s="40">
        <v>42988.4055324</v>
      </c>
      <c r="R100" s="42">
        <v>7.633333333333</v>
      </c>
    </row>
    <row r="101" ht="13.5" customHeight="1" spans="1:18">
      <c r="A101" s="36"/>
      <c r="B101" s="36" t="s">
        <v>29</v>
      </c>
      <c r="C101" s="36"/>
      <c r="D101" s="36"/>
      <c r="E101" s="36" t="s">
        <v>5</v>
      </c>
      <c r="F101" s="36"/>
      <c r="G101" s="36" t="s">
        <v>57</v>
      </c>
      <c r="H101" s="36"/>
      <c r="I101" s="36"/>
      <c r="J101" s="36" t="s">
        <v>58</v>
      </c>
      <c r="K101" s="38">
        <v>3</v>
      </c>
      <c r="L101" s="37"/>
      <c r="M101" s="38">
        <v>0</v>
      </c>
      <c r="N101" s="38">
        <v>0</v>
      </c>
      <c r="O101" s="36"/>
      <c r="P101" s="40">
        <v>42988.43</v>
      </c>
      <c r="Q101" s="40">
        <v>42988.93652777</v>
      </c>
      <c r="R101" s="42">
        <v>12.15</v>
      </c>
    </row>
    <row r="102" ht="13.5" customHeight="1" spans="1:18">
      <c r="A102" s="36"/>
      <c r="B102" s="36" t="s">
        <v>29</v>
      </c>
      <c r="C102" s="36"/>
      <c r="D102" s="36"/>
      <c r="E102" s="36" t="s">
        <v>5</v>
      </c>
      <c r="F102" s="36"/>
      <c r="G102" s="36" t="s">
        <v>64</v>
      </c>
      <c r="H102" s="36"/>
      <c r="I102" s="36"/>
      <c r="J102" s="36" t="s">
        <v>58</v>
      </c>
      <c r="K102" s="38">
        <v>4</v>
      </c>
      <c r="L102" s="37"/>
      <c r="M102" s="38">
        <v>0</v>
      </c>
      <c r="N102" s="38">
        <v>0</v>
      </c>
      <c r="O102" s="36"/>
      <c r="P102" s="40">
        <v>42988.45881944</v>
      </c>
      <c r="Q102" s="40">
        <v>42989.43068287</v>
      </c>
      <c r="R102" s="42">
        <v>23.316666666666</v>
      </c>
    </row>
    <row r="103" ht="64.5" customHeight="1" spans="1:18">
      <c r="A103" s="36"/>
      <c r="B103" s="36" t="s">
        <v>32</v>
      </c>
      <c r="C103" s="36"/>
      <c r="D103" s="36"/>
      <c r="E103" s="36" t="s">
        <v>6</v>
      </c>
      <c r="F103" s="36"/>
      <c r="G103" s="36" t="s">
        <v>70</v>
      </c>
      <c r="H103" s="36"/>
      <c r="I103" s="39"/>
      <c r="J103" s="36" t="s">
        <v>58</v>
      </c>
      <c r="K103" s="38">
        <v>3</v>
      </c>
      <c r="L103" s="37"/>
      <c r="M103" s="38">
        <v>0</v>
      </c>
      <c r="N103" s="38">
        <v>0</v>
      </c>
      <c r="O103" s="36"/>
      <c r="P103" s="40">
        <v>42988.5965162</v>
      </c>
      <c r="Q103" s="40">
        <v>42988.60164351</v>
      </c>
      <c r="R103" s="42">
        <v>0.166666666666</v>
      </c>
    </row>
    <row r="104" ht="13.5" customHeight="1" spans="1:18">
      <c r="A104" s="36"/>
      <c r="B104" s="36" t="s">
        <v>29</v>
      </c>
      <c r="C104" s="36"/>
      <c r="D104" s="36"/>
      <c r="E104" s="36" t="s">
        <v>5</v>
      </c>
      <c r="F104" s="36"/>
      <c r="G104" s="36" t="s">
        <v>64</v>
      </c>
      <c r="H104" s="36"/>
      <c r="I104" s="36"/>
      <c r="J104" s="36" t="s">
        <v>58</v>
      </c>
      <c r="K104" s="38">
        <v>3</v>
      </c>
      <c r="L104" s="37"/>
      <c r="M104" s="38">
        <v>0</v>
      </c>
      <c r="N104" s="38">
        <v>0</v>
      </c>
      <c r="O104" s="36"/>
      <c r="P104" s="40">
        <v>42988.67409722</v>
      </c>
      <c r="Q104" s="40">
        <v>42989.42978009</v>
      </c>
      <c r="R104" s="42">
        <v>18.133333333333</v>
      </c>
    </row>
    <row r="105" ht="13.5" customHeight="1" spans="1:18">
      <c r="A105" s="36"/>
      <c r="B105" s="36" t="s">
        <v>29</v>
      </c>
      <c r="C105" s="36"/>
      <c r="D105" s="36"/>
      <c r="E105" s="36" t="s">
        <v>5</v>
      </c>
      <c r="F105" s="36"/>
      <c r="G105" s="36" t="s">
        <v>57</v>
      </c>
      <c r="H105" s="36"/>
      <c r="I105" s="36"/>
      <c r="J105" s="36" t="s">
        <v>58</v>
      </c>
      <c r="K105" s="38">
        <v>3</v>
      </c>
      <c r="L105" s="37"/>
      <c r="M105" s="38">
        <v>0</v>
      </c>
      <c r="N105" s="38">
        <v>0</v>
      </c>
      <c r="O105" s="36"/>
      <c r="P105" s="40">
        <v>42989.01680555</v>
      </c>
      <c r="Q105" s="40">
        <v>42989.56780092</v>
      </c>
      <c r="R105" s="42">
        <v>13.216666666666</v>
      </c>
    </row>
    <row r="106" ht="13.5" customHeight="1" spans="1:18">
      <c r="A106" s="36"/>
      <c r="B106" s="36" t="s">
        <v>29</v>
      </c>
      <c r="C106" s="36"/>
      <c r="D106" s="36"/>
      <c r="E106" s="36" t="s">
        <v>5</v>
      </c>
      <c r="F106" s="36"/>
      <c r="G106" s="36" t="s">
        <v>57</v>
      </c>
      <c r="H106" s="36"/>
      <c r="I106" s="36"/>
      <c r="J106" s="36" t="s">
        <v>58</v>
      </c>
      <c r="K106" s="38">
        <v>3</v>
      </c>
      <c r="L106" s="37"/>
      <c r="M106" s="38">
        <v>0</v>
      </c>
      <c r="N106" s="38">
        <v>0</v>
      </c>
      <c r="O106" s="36"/>
      <c r="P106" s="40">
        <v>42989.08763888</v>
      </c>
      <c r="Q106" s="40">
        <v>42989.43591435</v>
      </c>
      <c r="R106" s="42">
        <v>8.366666666666</v>
      </c>
    </row>
    <row r="107" ht="13.5" customHeight="1" spans="1:18">
      <c r="A107" s="36"/>
      <c r="B107" s="36" t="s">
        <v>29</v>
      </c>
      <c r="C107" s="36"/>
      <c r="D107" s="36"/>
      <c r="E107" s="36" t="s">
        <v>5</v>
      </c>
      <c r="F107" s="36"/>
      <c r="G107" s="36" t="s">
        <v>57</v>
      </c>
      <c r="H107" s="36"/>
      <c r="I107" s="36"/>
      <c r="J107" s="36" t="s">
        <v>58</v>
      </c>
      <c r="K107" s="38">
        <v>3</v>
      </c>
      <c r="L107" s="37"/>
      <c r="M107" s="38">
        <v>0</v>
      </c>
      <c r="N107" s="38">
        <v>0</v>
      </c>
      <c r="O107" s="36"/>
      <c r="P107" s="40">
        <v>42989.19424768</v>
      </c>
      <c r="Q107" s="40">
        <v>42989.29873842</v>
      </c>
      <c r="R107" s="42">
        <v>2.5</v>
      </c>
    </row>
    <row r="108" ht="13.5" customHeight="1" spans="1:18">
      <c r="A108" s="36"/>
      <c r="B108" s="36" t="s">
        <v>32</v>
      </c>
      <c r="C108" s="36"/>
      <c r="D108" s="36"/>
      <c r="E108" s="36" t="s">
        <v>6</v>
      </c>
      <c r="F108" s="36"/>
      <c r="G108" s="36" t="s">
        <v>71</v>
      </c>
      <c r="H108" s="36"/>
      <c r="I108" s="36"/>
      <c r="J108" s="36" t="s">
        <v>58</v>
      </c>
      <c r="K108" s="38">
        <v>4</v>
      </c>
      <c r="L108" s="37"/>
      <c r="M108" s="38">
        <v>0</v>
      </c>
      <c r="N108" s="38">
        <v>0</v>
      </c>
      <c r="O108" s="36"/>
      <c r="P108" s="40">
        <v>42989.36722222</v>
      </c>
      <c r="Q108" s="40">
        <v>42991.67509259</v>
      </c>
      <c r="R108" s="42">
        <v>55.6</v>
      </c>
    </row>
    <row r="109" ht="13.5" customHeight="1" spans="1:18">
      <c r="A109" s="36"/>
      <c r="B109" s="36" t="s">
        <v>29</v>
      </c>
      <c r="C109" s="36"/>
      <c r="D109" s="36"/>
      <c r="E109" s="36" t="s">
        <v>7</v>
      </c>
      <c r="F109" s="36"/>
      <c r="G109" s="36" t="s">
        <v>64</v>
      </c>
      <c r="H109" s="36"/>
      <c r="I109" s="36"/>
      <c r="J109" s="36" t="s">
        <v>58</v>
      </c>
      <c r="K109" s="38">
        <v>3</v>
      </c>
      <c r="L109" s="37"/>
      <c r="M109" s="38">
        <v>0</v>
      </c>
      <c r="N109" s="38">
        <v>0</v>
      </c>
      <c r="O109" s="36"/>
      <c r="P109" s="40">
        <v>42989.43197916</v>
      </c>
      <c r="Q109" s="40">
        <v>42989.43349537</v>
      </c>
      <c r="R109" s="42">
        <v>0.066666666666</v>
      </c>
    </row>
    <row r="110" ht="13.5" customHeight="1" spans="1:18">
      <c r="A110" s="36"/>
      <c r="B110" s="36" t="s">
        <v>29</v>
      </c>
      <c r="C110" s="36"/>
      <c r="D110" s="36"/>
      <c r="E110" s="36" t="s">
        <v>5</v>
      </c>
      <c r="F110" s="36"/>
      <c r="G110" s="36" t="s">
        <v>57</v>
      </c>
      <c r="H110" s="36"/>
      <c r="I110" s="36"/>
      <c r="J110" s="36" t="s">
        <v>58</v>
      </c>
      <c r="K110" s="38">
        <v>3</v>
      </c>
      <c r="L110" s="37"/>
      <c r="M110" s="38">
        <v>0</v>
      </c>
      <c r="N110" s="38">
        <v>0</v>
      </c>
      <c r="O110" s="36"/>
      <c r="P110" s="40">
        <v>42989.88556713</v>
      </c>
      <c r="Q110" s="40">
        <v>42990.05302083</v>
      </c>
      <c r="R110" s="42">
        <v>4.016666666666</v>
      </c>
    </row>
    <row r="111" ht="13.5" customHeight="1" spans="1:18">
      <c r="A111" s="36"/>
      <c r="B111" s="36" t="s">
        <v>29</v>
      </c>
      <c r="C111" s="36"/>
      <c r="D111" s="36"/>
      <c r="E111" s="36" t="s">
        <v>5</v>
      </c>
      <c r="F111" s="36"/>
      <c r="G111" s="36" t="s">
        <v>57</v>
      </c>
      <c r="H111" s="36"/>
      <c r="I111" s="36"/>
      <c r="J111" s="36" t="s">
        <v>58</v>
      </c>
      <c r="K111" s="38">
        <v>3</v>
      </c>
      <c r="L111" s="37"/>
      <c r="M111" s="38">
        <v>0</v>
      </c>
      <c r="N111" s="38">
        <v>0</v>
      </c>
      <c r="O111" s="36"/>
      <c r="P111" s="40">
        <v>42990.0133449</v>
      </c>
      <c r="Q111" s="40">
        <v>42990.30106481</v>
      </c>
      <c r="R111" s="42">
        <v>6.9</v>
      </c>
    </row>
    <row r="112" ht="13.5" customHeight="1" spans="1:18">
      <c r="A112" s="36"/>
      <c r="B112" s="36" t="s">
        <v>29</v>
      </c>
      <c r="C112" s="36"/>
      <c r="D112" s="36"/>
      <c r="E112" s="36" t="s">
        <v>5</v>
      </c>
      <c r="F112" s="36"/>
      <c r="G112" s="36" t="s">
        <v>57</v>
      </c>
      <c r="H112" s="36"/>
      <c r="I112" s="36"/>
      <c r="J112" s="36" t="s">
        <v>58</v>
      </c>
      <c r="K112" s="38">
        <v>3</v>
      </c>
      <c r="L112" s="37"/>
      <c r="M112" s="38">
        <v>0</v>
      </c>
      <c r="N112" s="38">
        <v>0</v>
      </c>
      <c r="O112" s="36"/>
      <c r="P112" s="40">
        <v>42990.08765046</v>
      </c>
      <c r="Q112" s="40">
        <v>42990.30217592</v>
      </c>
      <c r="R112" s="42">
        <v>5.15</v>
      </c>
    </row>
    <row r="113" ht="294" customHeight="1" spans="1:18">
      <c r="A113" s="36"/>
      <c r="B113" s="36" t="s">
        <v>29</v>
      </c>
      <c r="C113" s="36"/>
      <c r="D113" s="36"/>
      <c r="E113" s="36" t="s">
        <v>5</v>
      </c>
      <c r="F113" s="36"/>
      <c r="G113" s="36" t="s">
        <v>72</v>
      </c>
      <c r="H113" s="39"/>
      <c r="I113" s="36"/>
      <c r="J113" s="36" t="s">
        <v>58</v>
      </c>
      <c r="K113" s="38">
        <v>3</v>
      </c>
      <c r="L113" s="37"/>
      <c r="M113" s="38">
        <v>0</v>
      </c>
      <c r="N113" s="38">
        <v>0</v>
      </c>
      <c r="O113" s="36"/>
      <c r="P113" s="40">
        <v>42990.1789699</v>
      </c>
      <c r="Q113" s="40">
        <v>42990.63196759</v>
      </c>
      <c r="R113" s="42">
        <v>10.866666666666</v>
      </c>
    </row>
    <row r="114" ht="51.75" customHeight="1" spans="1:18">
      <c r="A114" s="36"/>
      <c r="B114" s="36" t="s">
        <v>29</v>
      </c>
      <c r="C114" s="36"/>
      <c r="D114" s="36"/>
      <c r="E114" s="36" t="s">
        <v>7</v>
      </c>
      <c r="F114" s="36"/>
      <c r="G114" s="36" t="s">
        <v>63</v>
      </c>
      <c r="H114" s="36"/>
      <c r="I114" s="39"/>
      <c r="J114" s="36" t="s">
        <v>58</v>
      </c>
      <c r="K114" s="38">
        <v>3</v>
      </c>
      <c r="L114" s="37"/>
      <c r="M114" s="38">
        <v>0</v>
      </c>
      <c r="N114" s="38">
        <v>0</v>
      </c>
      <c r="O114" s="36"/>
      <c r="P114" s="40">
        <v>42990.42390046</v>
      </c>
      <c r="Q114" s="40">
        <v>42991.2833449</v>
      </c>
      <c r="R114" s="42">
        <v>20.666666666666</v>
      </c>
    </row>
    <row r="115" ht="13.5" customHeight="1" spans="1:18">
      <c r="A115" s="36"/>
      <c r="B115" s="36" t="s">
        <v>29</v>
      </c>
      <c r="C115" s="36"/>
      <c r="D115" s="36"/>
      <c r="E115" s="36" t="s">
        <v>5</v>
      </c>
      <c r="F115" s="36"/>
      <c r="G115" s="36" t="s">
        <v>73</v>
      </c>
      <c r="H115" s="36"/>
      <c r="I115" s="36"/>
      <c r="J115" s="36" t="s">
        <v>58</v>
      </c>
      <c r="K115" s="38">
        <v>3</v>
      </c>
      <c r="L115" s="37"/>
      <c r="M115" s="38">
        <v>0</v>
      </c>
      <c r="N115" s="38">
        <v>0</v>
      </c>
      <c r="O115" s="36"/>
      <c r="P115" s="40">
        <v>42990.81196759</v>
      </c>
      <c r="Q115" s="40">
        <v>42991.28317129</v>
      </c>
      <c r="R115" s="42">
        <v>11.316666666666</v>
      </c>
    </row>
    <row r="116" ht="13.5" customHeight="1" spans="1:18">
      <c r="A116" s="36"/>
      <c r="B116" s="36" t="s">
        <v>29</v>
      </c>
      <c r="C116" s="36"/>
      <c r="D116" s="36"/>
      <c r="E116" s="36" t="s">
        <v>5</v>
      </c>
      <c r="F116" s="36"/>
      <c r="G116" s="36" t="s">
        <v>73</v>
      </c>
      <c r="H116" s="36"/>
      <c r="I116" s="36"/>
      <c r="J116" s="36" t="s">
        <v>58</v>
      </c>
      <c r="K116" s="38">
        <v>3</v>
      </c>
      <c r="L116" s="37"/>
      <c r="M116" s="38">
        <v>0</v>
      </c>
      <c r="N116" s="38">
        <v>0</v>
      </c>
      <c r="O116" s="36"/>
      <c r="P116" s="40">
        <v>42990.90780092</v>
      </c>
      <c r="Q116" s="40">
        <v>42991.39186342</v>
      </c>
      <c r="R116" s="42">
        <v>11.616666666666</v>
      </c>
    </row>
    <row r="117" ht="13.5" customHeight="1" spans="1:18">
      <c r="A117" s="36"/>
      <c r="B117" s="36" t="s">
        <v>29</v>
      </c>
      <c r="C117" s="36"/>
      <c r="D117" s="36"/>
      <c r="E117" s="36" t="s">
        <v>5</v>
      </c>
      <c r="F117" s="36"/>
      <c r="G117" s="36" t="s">
        <v>73</v>
      </c>
      <c r="H117" s="36"/>
      <c r="I117" s="36"/>
      <c r="J117" s="36" t="s">
        <v>58</v>
      </c>
      <c r="K117" s="38">
        <v>3</v>
      </c>
      <c r="L117" s="37"/>
      <c r="M117" s="38">
        <v>0</v>
      </c>
      <c r="N117" s="38">
        <v>0</v>
      </c>
      <c r="O117" s="36"/>
      <c r="P117" s="40">
        <v>42991.0137037</v>
      </c>
      <c r="Q117" s="40">
        <v>42991.85020833</v>
      </c>
      <c r="R117" s="42">
        <v>20.083333333333</v>
      </c>
    </row>
    <row r="118" ht="13.5" customHeight="1" spans="1:18">
      <c r="A118" s="36"/>
      <c r="B118" s="36" t="s">
        <v>29</v>
      </c>
      <c r="C118" s="36"/>
      <c r="D118" s="36"/>
      <c r="E118" s="36" t="s">
        <v>5</v>
      </c>
      <c r="F118" s="36"/>
      <c r="G118" s="36" t="s">
        <v>65</v>
      </c>
      <c r="H118" s="36"/>
      <c r="I118" s="36"/>
      <c r="J118" s="36" t="s">
        <v>58</v>
      </c>
      <c r="K118" s="38">
        <v>3</v>
      </c>
      <c r="L118" s="37"/>
      <c r="M118" s="38">
        <v>0</v>
      </c>
      <c r="N118" s="38">
        <v>0</v>
      </c>
      <c r="O118" s="36"/>
      <c r="P118" s="40">
        <v>42991.08766203</v>
      </c>
      <c r="Q118" s="40">
        <v>42991.44550925</v>
      </c>
      <c r="R118" s="42">
        <v>8.583333333333</v>
      </c>
    </row>
    <row r="119" ht="13.5" customHeight="1" spans="1:18">
      <c r="A119" s="36"/>
      <c r="B119" s="36" t="s">
        <v>29</v>
      </c>
      <c r="C119" s="36"/>
      <c r="D119" s="36"/>
      <c r="E119" s="36" t="s">
        <v>5</v>
      </c>
      <c r="F119" s="36"/>
      <c r="G119" s="36" t="s">
        <v>59</v>
      </c>
      <c r="H119" s="36"/>
      <c r="I119" s="36"/>
      <c r="J119" s="36" t="s">
        <v>58</v>
      </c>
      <c r="K119" s="38">
        <v>3</v>
      </c>
      <c r="L119" s="37"/>
      <c r="M119" s="38">
        <v>0</v>
      </c>
      <c r="N119" s="38">
        <v>0</v>
      </c>
      <c r="O119" s="36"/>
      <c r="P119" s="40">
        <v>42991.19738425</v>
      </c>
      <c r="Q119" s="40">
        <v>42991.44399305</v>
      </c>
      <c r="R119" s="42">
        <v>5.916666666666</v>
      </c>
    </row>
    <row r="120" ht="13.5" customHeight="1" spans="1:18">
      <c r="A120" s="36"/>
      <c r="B120" s="36" t="s">
        <v>29</v>
      </c>
      <c r="C120" s="36"/>
      <c r="D120" s="36"/>
      <c r="E120" s="36" t="s">
        <v>5</v>
      </c>
      <c r="F120" s="36"/>
      <c r="G120" s="36" t="s">
        <v>74</v>
      </c>
      <c r="H120" s="36"/>
      <c r="I120" s="36"/>
      <c r="J120" s="36" t="s">
        <v>58</v>
      </c>
      <c r="K120" s="38">
        <v>4</v>
      </c>
      <c r="L120" s="37"/>
      <c r="M120" s="38">
        <v>0</v>
      </c>
      <c r="N120" s="38">
        <v>0</v>
      </c>
      <c r="O120" s="36"/>
      <c r="P120" s="40">
        <v>42991.4796412</v>
      </c>
      <c r="Q120" s="40">
        <v>42993.25866898</v>
      </c>
      <c r="R120" s="42">
        <v>42.7</v>
      </c>
    </row>
    <row r="121" ht="39" customHeight="1" spans="1:18">
      <c r="A121" s="36"/>
      <c r="B121" s="36" t="s">
        <v>29</v>
      </c>
      <c r="C121" s="36"/>
      <c r="D121" s="36"/>
      <c r="E121" s="36" t="s">
        <v>5</v>
      </c>
      <c r="F121" s="36"/>
      <c r="G121" s="36" t="s">
        <v>68</v>
      </c>
      <c r="H121" s="36"/>
      <c r="I121" s="39"/>
      <c r="J121" s="36" t="s">
        <v>58</v>
      </c>
      <c r="K121" s="38">
        <v>3</v>
      </c>
      <c r="L121" s="37"/>
      <c r="M121" s="38">
        <v>0</v>
      </c>
      <c r="N121" s="38">
        <v>0</v>
      </c>
      <c r="O121" s="36"/>
      <c r="P121" s="40">
        <v>42991.73554398</v>
      </c>
      <c r="Q121" s="40">
        <v>42992.12040509</v>
      </c>
      <c r="R121" s="42">
        <v>9.233333333333</v>
      </c>
    </row>
    <row r="122" ht="13.5" customHeight="1" spans="1:18">
      <c r="A122" s="36"/>
      <c r="B122" s="36" t="s">
        <v>29</v>
      </c>
      <c r="C122" s="36"/>
      <c r="D122" s="36"/>
      <c r="E122" s="36" t="s">
        <v>5</v>
      </c>
      <c r="F122" s="36"/>
      <c r="G122" s="36" t="s">
        <v>73</v>
      </c>
      <c r="H122" s="36"/>
      <c r="I122" s="36"/>
      <c r="J122" s="36" t="s">
        <v>58</v>
      </c>
      <c r="K122" s="38">
        <v>3</v>
      </c>
      <c r="L122" s="37"/>
      <c r="M122" s="38">
        <v>0</v>
      </c>
      <c r="N122" s="38">
        <v>0</v>
      </c>
      <c r="O122" s="36"/>
      <c r="P122" s="40">
        <v>42991.79804398</v>
      </c>
      <c r="Q122" s="40">
        <v>42991.85248842</v>
      </c>
      <c r="R122" s="42">
        <v>1.3</v>
      </c>
    </row>
    <row r="123" ht="13.5" customHeight="1" spans="1:18">
      <c r="A123" s="36"/>
      <c r="B123" s="36" t="s">
        <v>29</v>
      </c>
      <c r="C123" s="36"/>
      <c r="D123" s="36"/>
      <c r="E123" s="36" t="s">
        <v>5</v>
      </c>
      <c r="F123" s="36"/>
      <c r="G123" s="36" t="s">
        <v>57</v>
      </c>
      <c r="H123" s="36"/>
      <c r="I123" s="36"/>
      <c r="J123" s="36" t="s">
        <v>58</v>
      </c>
      <c r="K123" s="38">
        <v>4</v>
      </c>
      <c r="L123" s="37"/>
      <c r="M123" s="38">
        <v>0</v>
      </c>
      <c r="N123" s="38">
        <v>0</v>
      </c>
      <c r="O123" s="36"/>
      <c r="P123" s="40">
        <v>42991.88519675</v>
      </c>
      <c r="Q123" s="40">
        <v>42993.07809027</v>
      </c>
      <c r="R123" s="42">
        <v>28.633333333333</v>
      </c>
    </row>
    <row r="124" ht="13.5" customHeight="1" spans="1:18">
      <c r="A124" s="36"/>
      <c r="B124" s="36" t="s">
        <v>29</v>
      </c>
      <c r="C124" s="36"/>
      <c r="D124" s="36"/>
      <c r="E124" s="36" t="s">
        <v>5</v>
      </c>
      <c r="F124" s="36"/>
      <c r="G124" s="36" t="s">
        <v>73</v>
      </c>
      <c r="H124" s="36"/>
      <c r="I124" s="36"/>
      <c r="J124" s="36" t="s">
        <v>58</v>
      </c>
      <c r="K124" s="38">
        <v>3</v>
      </c>
      <c r="L124" s="37"/>
      <c r="M124" s="38">
        <v>0</v>
      </c>
      <c r="N124" s="38">
        <v>0</v>
      </c>
      <c r="O124" s="36"/>
      <c r="P124" s="40">
        <v>42992.01402777</v>
      </c>
      <c r="Q124" s="40">
        <v>42992.35091435</v>
      </c>
      <c r="R124" s="42">
        <v>8.083333333333</v>
      </c>
    </row>
    <row r="125" ht="13.5" customHeight="1" spans="1:18">
      <c r="A125" s="36"/>
      <c r="B125" s="36" t="s">
        <v>29</v>
      </c>
      <c r="C125" s="36"/>
      <c r="D125" s="36"/>
      <c r="E125" s="36" t="s">
        <v>5</v>
      </c>
      <c r="F125" s="36"/>
      <c r="G125" s="36" t="s">
        <v>65</v>
      </c>
      <c r="H125" s="36"/>
      <c r="I125" s="36"/>
      <c r="J125" s="36" t="s">
        <v>58</v>
      </c>
      <c r="K125" s="38">
        <v>3</v>
      </c>
      <c r="L125" s="37"/>
      <c r="M125" s="38">
        <v>0</v>
      </c>
      <c r="N125" s="38">
        <v>0</v>
      </c>
      <c r="O125" s="36"/>
      <c r="P125" s="40">
        <v>42992.08763888</v>
      </c>
      <c r="Q125" s="40">
        <v>42992.71885416</v>
      </c>
      <c r="R125" s="42">
        <v>15.15</v>
      </c>
    </row>
    <row r="126" ht="13.5" customHeight="1" spans="1:18">
      <c r="A126" s="36"/>
      <c r="B126" s="36" t="s">
        <v>29</v>
      </c>
      <c r="C126" s="36"/>
      <c r="D126" s="36"/>
      <c r="E126" s="36" t="s">
        <v>5</v>
      </c>
      <c r="F126" s="36"/>
      <c r="G126" s="36" t="s">
        <v>59</v>
      </c>
      <c r="H126" s="36"/>
      <c r="I126" s="36"/>
      <c r="J126" s="36" t="s">
        <v>58</v>
      </c>
      <c r="K126" s="38">
        <v>3</v>
      </c>
      <c r="L126" s="37"/>
      <c r="M126" s="38">
        <v>0</v>
      </c>
      <c r="N126" s="38">
        <v>0</v>
      </c>
      <c r="O126" s="36"/>
      <c r="P126" s="40">
        <v>42992.19736111</v>
      </c>
      <c r="Q126" s="40">
        <v>42993.11052083</v>
      </c>
      <c r="R126" s="42">
        <v>21.916666666666</v>
      </c>
    </row>
    <row r="127" ht="26.25" customHeight="1" spans="1:18">
      <c r="A127" s="36"/>
      <c r="B127" s="36" t="s">
        <v>29</v>
      </c>
      <c r="C127" s="36"/>
      <c r="D127" s="36"/>
      <c r="E127" s="36" t="s">
        <v>5</v>
      </c>
      <c r="F127" s="36"/>
      <c r="G127" s="36" t="s">
        <v>65</v>
      </c>
      <c r="H127" s="39"/>
      <c r="I127" s="36"/>
      <c r="J127" s="36" t="s">
        <v>58</v>
      </c>
      <c r="K127" s="38">
        <v>4</v>
      </c>
      <c r="L127" s="37"/>
      <c r="M127" s="38">
        <v>0</v>
      </c>
      <c r="N127" s="38">
        <v>0</v>
      </c>
      <c r="O127" s="36"/>
      <c r="P127" s="40">
        <v>42992.31298611</v>
      </c>
      <c r="Q127" s="40">
        <v>42993.09034722</v>
      </c>
      <c r="R127" s="42">
        <v>18.65</v>
      </c>
    </row>
    <row r="128" ht="13.5" customHeight="1" spans="1:18">
      <c r="A128" s="36"/>
      <c r="B128" s="36" t="s">
        <v>32</v>
      </c>
      <c r="C128" s="36"/>
      <c r="D128" s="36"/>
      <c r="E128" s="36" t="s">
        <v>7</v>
      </c>
      <c r="F128" s="36"/>
      <c r="G128" s="36" t="s">
        <v>68</v>
      </c>
      <c r="H128" s="36"/>
      <c r="I128" s="36"/>
      <c r="J128" s="36" t="s">
        <v>58</v>
      </c>
      <c r="K128" s="38">
        <v>3</v>
      </c>
      <c r="L128" s="37"/>
      <c r="M128" s="38">
        <v>0</v>
      </c>
      <c r="N128" s="38">
        <v>0</v>
      </c>
      <c r="O128" s="36"/>
      <c r="P128" s="40">
        <v>42992.38361111</v>
      </c>
      <c r="Q128" s="40">
        <v>42992.62255787</v>
      </c>
      <c r="R128" s="42">
        <v>5.8</v>
      </c>
    </row>
    <row r="129" ht="13.5" customHeight="1" spans="1:18">
      <c r="A129" s="36"/>
      <c r="B129" s="36" t="s">
        <v>29</v>
      </c>
      <c r="C129" s="36"/>
      <c r="D129" s="36"/>
      <c r="E129" s="36" t="s">
        <v>8</v>
      </c>
      <c r="F129" s="36"/>
      <c r="G129" s="36" t="s">
        <v>73</v>
      </c>
      <c r="H129" s="36"/>
      <c r="I129" s="36"/>
      <c r="J129" s="36" t="s">
        <v>58</v>
      </c>
      <c r="K129" s="38">
        <v>3</v>
      </c>
      <c r="L129" s="37"/>
      <c r="M129" s="38">
        <v>0</v>
      </c>
      <c r="N129" s="38">
        <v>0</v>
      </c>
      <c r="O129" s="36"/>
      <c r="P129" s="40">
        <v>42992.43520833</v>
      </c>
      <c r="Q129" s="40">
        <v>42992.72618055</v>
      </c>
      <c r="R129" s="42">
        <v>6.983333333333</v>
      </c>
    </row>
    <row r="130" ht="13.5" customHeight="1" spans="1:18">
      <c r="A130" s="36"/>
      <c r="B130" s="36" t="s">
        <v>29</v>
      </c>
      <c r="C130" s="36"/>
      <c r="D130" s="36"/>
      <c r="E130" s="36" t="s">
        <v>5</v>
      </c>
      <c r="F130" s="36"/>
      <c r="G130" s="36" t="s">
        <v>73</v>
      </c>
      <c r="H130" s="36"/>
      <c r="I130" s="36"/>
      <c r="J130" s="36" t="s">
        <v>58</v>
      </c>
      <c r="K130" s="38">
        <v>3</v>
      </c>
      <c r="L130" s="37"/>
      <c r="M130" s="38">
        <v>0</v>
      </c>
      <c r="N130" s="38">
        <v>0</v>
      </c>
      <c r="O130" s="36"/>
      <c r="P130" s="40">
        <v>42992.805</v>
      </c>
      <c r="Q130" s="40">
        <v>42992.93546296</v>
      </c>
      <c r="R130" s="42">
        <v>3.133333333333</v>
      </c>
    </row>
    <row r="131" ht="13.5" customHeight="1" spans="1:18">
      <c r="A131" s="36"/>
      <c r="B131" s="36" t="s">
        <v>29</v>
      </c>
      <c r="C131" s="36"/>
      <c r="D131" s="36"/>
      <c r="E131" s="36" t="s">
        <v>5</v>
      </c>
      <c r="F131" s="36"/>
      <c r="G131" s="36" t="s">
        <v>73</v>
      </c>
      <c r="H131" s="36"/>
      <c r="I131" s="36"/>
      <c r="J131" s="36" t="s">
        <v>58</v>
      </c>
      <c r="K131" s="38">
        <v>3</v>
      </c>
      <c r="L131" s="37"/>
      <c r="M131" s="38">
        <v>0</v>
      </c>
      <c r="N131" s="38">
        <v>0</v>
      </c>
      <c r="O131" s="36"/>
      <c r="P131" s="40">
        <v>42993.01333333</v>
      </c>
      <c r="Q131" s="40">
        <v>42993.02942129</v>
      </c>
      <c r="R131" s="42">
        <v>0.383333333333</v>
      </c>
    </row>
    <row r="132" ht="90" customHeight="1" spans="1:18">
      <c r="A132" s="36"/>
      <c r="B132" s="36" t="s">
        <v>32</v>
      </c>
      <c r="C132" s="36"/>
      <c r="D132" s="36"/>
      <c r="E132" s="36" t="s">
        <v>6</v>
      </c>
      <c r="F132" s="36"/>
      <c r="G132" s="36" t="s">
        <v>75</v>
      </c>
      <c r="H132" s="39"/>
      <c r="I132" s="39"/>
      <c r="J132" s="36" t="s">
        <v>58</v>
      </c>
      <c r="K132" s="38">
        <v>3</v>
      </c>
      <c r="L132" s="37"/>
      <c r="M132" s="38">
        <v>0</v>
      </c>
      <c r="N132" s="38">
        <v>0</v>
      </c>
      <c r="O132" s="36"/>
      <c r="P132" s="40">
        <v>42993.05222222</v>
      </c>
      <c r="Q132" s="40">
        <v>42993.18986111</v>
      </c>
      <c r="R132" s="42">
        <v>3.3</v>
      </c>
    </row>
    <row r="133" ht="13.5" customHeight="1" spans="1:18">
      <c r="A133" s="36"/>
      <c r="B133" s="36" t="s">
        <v>29</v>
      </c>
      <c r="C133" s="36"/>
      <c r="D133" s="36"/>
      <c r="E133" s="36" t="s">
        <v>5</v>
      </c>
      <c r="F133" s="36"/>
      <c r="G133" s="36" t="s">
        <v>74</v>
      </c>
      <c r="H133" s="36"/>
      <c r="I133" s="36"/>
      <c r="J133" s="36" t="s">
        <v>58</v>
      </c>
      <c r="K133" s="38">
        <v>3</v>
      </c>
      <c r="L133" s="37"/>
      <c r="M133" s="38">
        <v>0</v>
      </c>
      <c r="N133" s="38">
        <v>0</v>
      </c>
      <c r="O133" s="36"/>
      <c r="P133" s="40">
        <v>42993.19840277</v>
      </c>
      <c r="Q133" s="40">
        <v>42993.26226851</v>
      </c>
      <c r="R133" s="42">
        <v>1.533333333333</v>
      </c>
    </row>
    <row r="134" ht="13.5" customHeight="1" spans="1:18">
      <c r="A134" s="36"/>
      <c r="B134" s="36" t="s">
        <v>29</v>
      </c>
      <c r="C134" s="36"/>
      <c r="D134" s="36"/>
      <c r="E134" s="36" t="s">
        <v>5</v>
      </c>
      <c r="F134" s="36"/>
      <c r="G134" s="36" t="s">
        <v>73</v>
      </c>
      <c r="H134" s="36"/>
      <c r="I134" s="36"/>
      <c r="J134" s="36" t="s">
        <v>58</v>
      </c>
      <c r="K134" s="38">
        <v>3</v>
      </c>
      <c r="L134" s="37"/>
      <c r="M134" s="38">
        <v>0</v>
      </c>
      <c r="N134" s="38">
        <v>0</v>
      </c>
      <c r="O134" s="36"/>
      <c r="P134" s="40">
        <v>42993.19944444</v>
      </c>
      <c r="Q134" s="40">
        <v>42993.26737268</v>
      </c>
      <c r="R134" s="42">
        <v>1.633333333333</v>
      </c>
    </row>
    <row r="135" ht="13.5" customHeight="1" spans="1:18">
      <c r="A135" s="36"/>
      <c r="B135" s="36" t="s">
        <v>29</v>
      </c>
      <c r="C135" s="36"/>
      <c r="D135" s="36"/>
      <c r="E135" s="36" t="s">
        <v>5</v>
      </c>
      <c r="F135" s="36"/>
      <c r="G135" s="36" t="s">
        <v>73</v>
      </c>
      <c r="H135" s="36"/>
      <c r="I135" s="36"/>
      <c r="J135" s="36" t="s">
        <v>58</v>
      </c>
      <c r="K135" s="38">
        <v>3</v>
      </c>
      <c r="L135" s="37"/>
      <c r="M135" s="38">
        <v>0</v>
      </c>
      <c r="N135" s="38">
        <v>0</v>
      </c>
      <c r="O135" s="36"/>
      <c r="P135" s="40">
        <v>42993.34215277</v>
      </c>
      <c r="Q135" s="40">
        <v>42993.6396412</v>
      </c>
      <c r="R135" s="42">
        <v>7.133333333333</v>
      </c>
    </row>
    <row r="136" ht="13.5" customHeight="1" spans="1:18">
      <c r="A136" s="36"/>
      <c r="B136" s="36" t="s">
        <v>29</v>
      </c>
      <c r="C136" s="36"/>
      <c r="D136" s="36"/>
      <c r="E136" s="36" t="s">
        <v>5</v>
      </c>
      <c r="F136" s="36"/>
      <c r="G136" s="36" t="s">
        <v>73</v>
      </c>
      <c r="H136" s="36"/>
      <c r="I136" s="36"/>
      <c r="J136" s="36" t="s">
        <v>58</v>
      </c>
      <c r="K136" s="38">
        <v>3</v>
      </c>
      <c r="L136" s="37"/>
      <c r="M136" s="38">
        <v>0</v>
      </c>
      <c r="N136" s="38">
        <v>0</v>
      </c>
      <c r="O136" s="36"/>
      <c r="P136" s="40">
        <v>42993.39528935</v>
      </c>
      <c r="Q136" s="40">
        <v>42993.63820601</v>
      </c>
      <c r="R136" s="42">
        <v>5.833333333333</v>
      </c>
    </row>
    <row r="137" ht="13.5" customHeight="1" spans="1:18">
      <c r="A137" s="36"/>
      <c r="B137" s="36" t="s">
        <v>32</v>
      </c>
      <c r="C137" s="36"/>
      <c r="D137" s="36"/>
      <c r="E137" s="36" t="s">
        <v>5</v>
      </c>
      <c r="F137" s="36"/>
      <c r="G137" s="36" t="s">
        <v>68</v>
      </c>
      <c r="H137" s="36"/>
      <c r="I137" s="36"/>
      <c r="J137" s="36" t="s">
        <v>58</v>
      </c>
      <c r="K137" s="38">
        <v>3</v>
      </c>
      <c r="L137" s="37"/>
      <c r="M137" s="38">
        <v>0</v>
      </c>
      <c r="N137" s="38">
        <v>0</v>
      </c>
      <c r="O137" s="36"/>
      <c r="P137" s="40">
        <v>42993.4334375</v>
      </c>
      <c r="Q137" s="40">
        <v>42993.63563657</v>
      </c>
      <c r="R137" s="42">
        <v>4.933333333333</v>
      </c>
    </row>
    <row r="138" ht="13.5" customHeight="1" spans="1:18">
      <c r="A138" s="36"/>
      <c r="B138" s="36" t="s">
        <v>32</v>
      </c>
      <c r="C138" s="36"/>
      <c r="D138" s="36"/>
      <c r="E138" s="36" t="s">
        <v>7</v>
      </c>
      <c r="F138" s="36"/>
      <c r="G138" s="36" t="s">
        <v>68</v>
      </c>
      <c r="H138" s="36"/>
      <c r="I138" s="36"/>
      <c r="J138" s="36" t="s">
        <v>58</v>
      </c>
      <c r="K138" s="38">
        <v>3</v>
      </c>
      <c r="L138" s="37"/>
      <c r="M138" s="38">
        <v>0</v>
      </c>
      <c r="N138" s="38">
        <v>0</v>
      </c>
      <c r="O138" s="36"/>
      <c r="P138" s="40">
        <v>42993.44634259</v>
      </c>
      <c r="Q138" s="40">
        <v>42993.5536574</v>
      </c>
      <c r="R138" s="42">
        <v>2.6</v>
      </c>
    </row>
    <row r="139" ht="13.5" customHeight="1" spans="1:18">
      <c r="A139" s="36"/>
      <c r="B139" s="36" t="s">
        <v>29</v>
      </c>
      <c r="C139" s="36"/>
      <c r="D139" s="36"/>
      <c r="E139" s="36" t="s">
        <v>5</v>
      </c>
      <c r="F139" s="36"/>
      <c r="G139" s="36" t="s">
        <v>68</v>
      </c>
      <c r="H139" s="36"/>
      <c r="I139" s="36"/>
      <c r="J139" s="36" t="s">
        <v>58</v>
      </c>
      <c r="K139" s="38">
        <v>3</v>
      </c>
      <c r="L139" s="37"/>
      <c r="M139" s="38">
        <v>0</v>
      </c>
      <c r="N139" s="38">
        <v>0</v>
      </c>
      <c r="O139" s="36"/>
      <c r="P139" s="40">
        <v>42993.45223379</v>
      </c>
      <c r="Q139" s="40">
        <v>42993.69952546</v>
      </c>
      <c r="R139" s="42">
        <v>5.933333333333</v>
      </c>
    </row>
    <row r="140" ht="13.5" customHeight="1" spans="1:18">
      <c r="A140" s="36"/>
      <c r="B140" s="36" t="s">
        <v>29</v>
      </c>
      <c r="C140" s="36"/>
      <c r="D140" s="36"/>
      <c r="E140" s="36" t="s">
        <v>5</v>
      </c>
      <c r="F140" s="36"/>
      <c r="G140" s="36" t="s">
        <v>68</v>
      </c>
      <c r="H140" s="36"/>
      <c r="I140" s="36"/>
      <c r="J140" s="36" t="s">
        <v>58</v>
      </c>
      <c r="K140" s="38">
        <v>3</v>
      </c>
      <c r="L140" s="37"/>
      <c r="M140" s="38">
        <v>0</v>
      </c>
      <c r="N140" s="38">
        <v>0</v>
      </c>
      <c r="O140" s="36"/>
      <c r="P140" s="40">
        <v>42993.50049768</v>
      </c>
      <c r="Q140" s="40">
        <v>42993.6370949</v>
      </c>
      <c r="R140" s="42">
        <v>3.283333333333</v>
      </c>
    </row>
    <row r="141" ht="90" customHeight="1" spans="1:18">
      <c r="A141" s="36"/>
      <c r="B141" s="36" t="s">
        <v>29</v>
      </c>
      <c r="C141" s="36"/>
      <c r="D141" s="36"/>
      <c r="E141" s="36" t="s">
        <v>5</v>
      </c>
      <c r="F141" s="36"/>
      <c r="G141" s="36" t="s">
        <v>68</v>
      </c>
      <c r="H141" s="39"/>
      <c r="I141" s="36"/>
      <c r="J141" s="36" t="s">
        <v>58</v>
      </c>
      <c r="K141" s="38">
        <v>4</v>
      </c>
      <c r="L141" s="37"/>
      <c r="M141" s="38">
        <v>0</v>
      </c>
      <c r="N141" s="38">
        <v>0</v>
      </c>
      <c r="O141" s="36"/>
      <c r="P141" s="40">
        <v>42993.65299768</v>
      </c>
      <c r="Q141" s="40">
        <v>42996.54158564</v>
      </c>
      <c r="R141" s="42">
        <v>69.4</v>
      </c>
    </row>
    <row r="142" ht="13.5" customHeight="1" spans="1:18">
      <c r="A142" s="36"/>
      <c r="B142" s="36" t="s">
        <v>29</v>
      </c>
      <c r="C142" s="36"/>
      <c r="D142" s="36"/>
      <c r="E142" s="36" t="s">
        <v>5</v>
      </c>
      <c r="F142" s="36"/>
      <c r="G142" s="36" t="s">
        <v>73</v>
      </c>
      <c r="H142" s="36"/>
      <c r="I142" s="36"/>
      <c r="J142" s="36" t="s">
        <v>58</v>
      </c>
      <c r="K142" s="38">
        <v>3</v>
      </c>
      <c r="L142" s="37"/>
      <c r="M142" s="38">
        <v>0</v>
      </c>
      <c r="N142" s="38">
        <v>0</v>
      </c>
      <c r="O142" s="36"/>
      <c r="P142" s="40">
        <v>42993.67410879</v>
      </c>
      <c r="Q142" s="40">
        <v>42993.67478009</v>
      </c>
      <c r="R142" s="42">
        <v>0.016666666666</v>
      </c>
    </row>
    <row r="143" ht="13.5" customHeight="1" spans="1:18">
      <c r="A143" s="36"/>
      <c r="B143" s="36" t="s">
        <v>32</v>
      </c>
      <c r="C143" s="36"/>
      <c r="D143" s="36"/>
      <c r="E143" s="36" t="s">
        <v>5</v>
      </c>
      <c r="F143" s="36"/>
      <c r="G143" s="36" t="s">
        <v>76</v>
      </c>
      <c r="H143" s="36"/>
      <c r="I143" s="36"/>
      <c r="J143" s="36" t="s">
        <v>58</v>
      </c>
      <c r="K143" s="38">
        <v>4</v>
      </c>
      <c r="L143" s="37"/>
      <c r="M143" s="38">
        <v>0</v>
      </c>
      <c r="N143" s="38">
        <v>0</v>
      </c>
      <c r="O143" s="36"/>
      <c r="P143" s="40">
        <v>42993.68122685</v>
      </c>
      <c r="Q143" s="40">
        <v>42995.68039351</v>
      </c>
      <c r="R143" s="42">
        <v>48.633333333333</v>
      </c>
    </row>
    <row r="144" ht="13.5" customHeight="1" spans="1:18">
      <c r="A144" s="36"/>
      <c r="B144" s="36" t="s">
        <v>29</v>
      </c>
      <c r="C144" s="36"/>
      <c r="D144" s="36"/>
      <c r="E144" s="36" t="s">
        <v>5</v>
      </c>
      <c r="F144" s="36"/>
      <c r="G144" s="36" t="s">
        <v>73</v>
      </c>
      <c r="H144" s="36"/>
      <c r="I144" s="36"/>
      <c r="J144" s="36" t="s">
        <v>58</v>
      </c>
      <c r="K144" s="38">
        <v>3</v>
      </c>
      <c r="L144" s="37"/>
      <c r="M144" s="38">
        <v>0</v>
      </c>
      <c r="N144" s="38">
        <v>0</v>
      </c>
      <c r="O144" s="36"/>
      <c r="P144" s="40">
        <v>42993.80501157</v>
      </c>
      <c r="Q144" s="40">
        <v>42994.37796296</v>
      </c>
      <c r="R144" s="42">
        <v>13.75</v>
      </c>
    </row>
    <row r="145" ht="13.5" customHeight="1" spans="1:18">
      <c r="A145" s="36"/>
      <c r="B145" s="36" t="s">
        <v>29</v>
      </c>
      <c r="C145" s="36"/>
      <c r="D145" s="36"/>
      <c r="E145" s="36" t="s">
        <v>5</v>
      </c>
      <c r="F145" s="36"/>
      <c r="G145" s="36" t="s">
        <v>73</v>
      </c>
      <c r="H145" s="36"/>
      <c r="I145" s="36"/>
      <c r="J145" s="36" t="s">
        <v>58</v>
      </c>
      <c r="K145" s="38">
        <v>3</v>
      </c>
      <c r="L145" s="37"/>
      <c r="M145" s="38">
        <v>0</v>
      </c>
      <c r="N145" s="38">
        <v>0</v>
      </c>
      <c r="O145" s="36"/>
      <c r="P145" s="40">
        <v>42993.88556713</v>
      </c>
      <c r="Q145" s="40">
        <v>42995.18695601</v>
      </c>
      <c r="R145" s="42">
        <v>31.233333333333</v>
      </c>
    </row>
    <row r="146" ht="13.5" customHeight="1" spans="1:18">
      <c r="A146" s="36"/>
      <c r="B146" s="36" t="s">
        <v>29</v>
      </c>
      <c r="C146" s="36"/>
      <c r="D146" s="36"/>
      <c r="E146" s="36" t="s">
        <v>5</v>
      </c>
      <c r="F146" s="36"/>
      <c r="G146" s="36" t="s">
        <v>73</v>
      </c>
      <c r="H146" s="36"/>
      <c r="I146" s="36"/>
      <c r="J146" s="36" t="s">
        <v>58</v>
      </c>
      <c r="K146" s="38">
        <v>3</v>
      </c>
      <c r="L146" s="37"/>
      <c r="M146" s="38">
        <v>0</v>
      </c>
      <c r="N146" s="38">
        <v>0</v>
      </c>
      <c r="O146" s="36"/>
      <c r="P146" s="40">
        <v>42994.01369213</v>
      </c>
      <c r="Q146" s="40">
        <v>42995.18760416</v>
      </c>
      <c r="R146" s="42">
        <v>28.166666666666</v>
      </c>
    </row>
    <row r="147" ht="13.5" customHeight="1" spans="1:18">
      <c r="A147" s="36"/>
      <c r="B147" s="36" t="s">
        <v>29</v>
      </c>
      <c r="C147" s="36"/>
      <c r="D147" s="36"/>
      <c r="E147" s="36" t="s">
        <v>5</v>
      </c>
      <c r="F147" s="36"/>
      <c r="G147" s="36" t="s">
        <v>65</v>
      </c>
      <c r="H147" s="36"/>
      <c r="I147" s="36"/>
      <c r="J147" s="36" t="s">
        <v>58</v>
      </c>
      <c r="K147" s="38">
        <v>3</v>
      </c>
      <c r="L147" s="37"/>
      <c r="M147" s="38">
        <v>0</v>
      </c>
      <c r="N147" s="38">
        <v>0</v>
      </c>
      <c r="O147" s="36"/>
      <c r="P147" s="40">
        <v>42994.08765046</v>
      </c>
      <c r="Q147" s="40">
        <v>42995.18916666</v>
      </c>
      <c r="R147" s="42">
        <v>26.433333333333</v>
      </c>
    </row>
    <row r="148" ht="13.5" customHeight="1" spans="1:18">
      <c r="A148" s="36"/>
      <c r="B148" s="36" t="s">
        <v>32</v>
      </c>
      <c r="C148" s="36"/>
      <c r="D148" s="36"/>
      <c r="E148" s="36" t="s">
        <v>7</v>
      </c>
      <c r="F148" s="36"/>
      <c r="G148" s="36" t="s">
        <v>73</v>
      </c>
      <c r="H148" s="36"/>
      <c r="I148" s="36"/>
      <c r="J148" s="36" t="s">
        <v>58</v>
      </c>
      <c r="K148" s="38">
        <v>3</v>
      </c>
      <c r="L148" s="37"/>
      <c r="M148" s="38">
        <v>0</v>
      </c>
      <c r="N148" s="38">
        <v>0</v>
      </c>
      <c r="O148" s="36"/>
      <c r="P148" s="40">
        <v>42994.20883101</v>
      </c>
      <c r="Q148" s="40">
        <v>42995.18643518</v>
      </c>
      <c r="R148" s="42">
        <v>23.466666666666</v>
      </c>
    </row>
    <row r="149" ht="13.5" customHeight="1" spans="1:18">
      <c r="A149" s="36"/>
      <c r="B149" s="36" t="s">
        <v>29</v>
      </c>
      <c r="C149" s="36"/>
      <c r="D149" s="36"/>
      <c r="E149" s="36" t="s">
        <v>5</v>
      </c>
      <c r="F149" s="36"/>
      <c r="G149" s="36" t="s">
        <v>73</v>
      </c>
      <c r="H149" s="36"/>
      <c r="I149" s="36"/>
      <c r="J149" s="36" t="s">
        <v>58</v>
      </c>
      <c r="K149" s="38">
        <v>3</v>
      </c>
      <c r="L149" s="37"/>
      <c r="M149" s="38">
        <v>0</v>
      </c>
      <c r="N149" s="38">
        <v>0</v>
      </c>
      <c r="O149" s="36"/>
      <c r="P149" s="40">
        <v>42994.24494213</v>
      </c>
      <c r="Q149" s="40">
        <v>42995.18731481</v>
      </c>
      <c r="R149" s="42">
        <v>22.616666666666</v>
      </c>
    </row>
    <row r="150" ht="13.5" customHeight="1" spans="1:18">
      <c r="A150" s="36"/>
      <c r="B150" s="36" t="s">
        <v>29</v>
      </c>
      <c r="C150" s="36"/>
      <c r="D150" s="36"/>
      <c r="E150" s="36" t="s">
        <v>5</v>
      </c>
      <c r="F150" s="36"/>
      <c r="G150" s="36" t="s">
        <v>73</v>
      </c>
      <c r="H150" s="36"/>
      <c r="I150" s="36"/>
      <c r="J150" s="36" t="s">
        <v>58</v>
      </c>
      <c r="K150" s="38">
        <v>3</v>
      </c>
      <c r="L150" s="37"/>
      <c r="M150" s="38">
        <v>0</v>
      </c>
      <c r="N150" s="38">
        <v>0</v>
      </c>
      <c r="O150" s="36"/>
      <c r="P150" s="40">
        <v>42995.07849537</v>
      </c>
      <c r="Q150" s="40">
        <v>42995.19059027</v>
      </c>
      <c r="R150" s="42">
        <v>2.683333333333</v>
      </c>
    </row>
    <row r="151" ht="13.5" customHeight="1" spans="1:18">
      <c r="A151" s="36"/>
      <c r="B151" s="36" t="s">
        <v>29</v>
      </c>
      <c r="C151" s="36"/>
      <c r="D151" s="36"/>
      <c r="E151" s="36" t="s">
        <v>5</v>
      </c>
      <c r="F151" s="36"/>
      <c r="G151" s="36" t="s">
        <v>73</v>
      </c>
      <c r="H151" s="36"/>
      <c r="I151" s="36"/>
      <c r="J151" s="36" t="s">
        <v>58</v>
      </c>
      <c r="K151" s="38">
        <v>3</v>
      </c>
      <c r="L151" s="37"/>
      <c r="M151" s="38">
        <v>0</v>
      </c>
      <c r="N151" s="38">
        <v>0</v>
      </c>
      <c r="O151" s="36"/>
      <c r="P151" s="40">
        <v>42995.07850694</v>
      </c>
      <c r="Q151" s="40">
        <v>42995.46998842</v>
      </c>
      <c r="R151" s="42">
        <v>9.4</v>
      </c>
    </row>
    <row r="152" ht="13.5" customHeight="1" spans="1:18">
      <c r="A152" s="36"/>
      <c r="B152" s="36" t="s">
        <v>32</v>
      </c>
      <c r="C152" s="36"/>
      <c r="D152" s="36"/>
      <c r="E152" s="36" t="s">
        <v>5</v>
      </c>
      <c r="F152" s="36"/>
      <c r="G152" s="36" t="s">
        <v>60</v>
      </c>
      <c r="H152" s="36"/>
      <c r="I152" s="36"/>
      <c r="J152" s="36" t="s">
        <v>58</v>
      </c>
      <c r="K152" s="38">
        <v>3</v>
      </c>
      <c r="L152" s="37"/>
      <c r="M152" s="38">
        <v>0</v>
      </c>
      <c r="N152" s="38">
        <v>0</v>
      </c>
      <c r="O152" s="36"/>
      <c r="P152" s="40">
        <v>42995.07855324</v>
      </c>
      <c r="Q152" s="40">
        <v>42995.35827546</v>
      </c>
      <c r="R152" s="42">
        <v>6.716666666666</v>
      </c>
    </row>
    <row r="153" ht="13.5" customHeight="1" spans="1:18">
      <c r="A153" s="36"/>
      <c r="B153" s="36" t="s">
        <v>32</v>
      </c>
      <c r="C153" s="36"/>
      <c r="D153" s="36"/>
      <c r="E153" s="36" t="s">
        <v>5</v>
      </c>
      <c r="F153" s="36"/>
      <c r="G153" s="36" t="s">
        <v>60</v>
      </c>
      <c r="H153" s="36"/>
      <c r="I153" s="36"/>
      <c r="J153" s="36" t="s">
        <v>58</v>
      </c>
      <c r="K153" s="38">
        <v>3</v>
      </c>
      <c r="L153" s="37"/>
      <c r="M153" s="38">
        <v>0</v>
      </c>
      <c r="N153" s="38">
        <v>0</v>
      </c>
      <c r="O153" s="36"/>
      <c r="P153" s="40">
        <v>42995.07855324</v>
      </c>
      <c r="Q153" s="40">
        <v>42995.36476851</v>
      </c>
      <c r="R153" s="42">
        <v>6.866666666666</v>
      </c>
    </row>
    <row r="154" ht="13.5" customHeight="1" spans="1:18">
      <c r="A154" s="36"/>
      <c r="B154" s="36" t="s">
        <v>32</v>
      </c>
      <c r="C154" s="36"/>
      <c r="D154" s="36"/>
      <c r="E154" s="36" t="s">
        <v>7</v>
      </c>
      <c r="F154" s="36"/>
      <c r="G154" s="36" t="s">
        <v>63</v>
      </c>
      <c r="H154" s="36"/>
      <c r="I154" s="36"/>
      <c r="J154" s="36" t="s">
        <v>58</v>
      </c>
      <c r="K154" s="38">
        <v>3</v>
      </c>
      <c r="L154" s="37"/>
      <c r="M154" s="38">
        <v>0</v>
      </c>
      <c r="N154" s="38">
        <v>0</v>
      </c>
      <c r="O154" s="36"/>
      <c r="P154" s="40">
        <v>42995.0786574</v>
      </c>
      <c r="Q154" s="40">
        <v>42995.47105324</v>
      </c>
      <c r="R154" s="42">
        <v>9.416666666666</v>
      </c>
    </row>
    <row r="155" ht="13.5" customHeight="1" spans="1:18">
      <c r="A155" s="36"/>
      <c r="B155" s="36" t="s">
        <v>29</v>
      </c>
      <c r="C155" s="36"/>
      <c r="D155" s="36"/>
      <c r="E155" s="36" t="s">
        <v>5</v>
      </c>
      <c r="F155" s="36"/>
      <c r="G155" s="36" t="s">
        <v>73</v>
      </c>
      <c r="H155" s="36"/>
      <c r="I155" s="36"/>
      <c r="J155" s="36" t="s">
        <v>58</v>
      </c>
      <c r="K155" s="38">
        <v>4</v>
      </c>
      <c r="L155" s="37"/>
      <c r="M155" s="38">
        <v>0</v>
      </c>
      <c r="N155" s="38">
        <v>0</v>
      </c>
      <c r="O155" s="36"/>
      <c r="P155" s="40">
        <v>42995.08004629</v>
      </c>
      <c r="Q155" s="40">
        <v>42996.4540162</v>
      </c>
      <c r="R155" s="42">
        <v>32.983333333333</v>
      </c>
    </row>
    <row r="156" ht="13.5" customHeight="1" spans="1:18">
      <c r="A156" s="36"/>
      <c r="B156" s="36" t="s">
        <v>32</v>
      </c>
      <c r="C156" s="36"/>
      <c r="D156" s="36"/>
      <c r="E156" s="36" t="s">
        <v>7</v>
      </c>
      <c r="F156" s="36"/>
      <c r="G156" s="36" t="s">
        <v>63</v>
      </c>
      <c r="H156" s="36"/>
      <c r="I156" s="36"/>
      <c r="J156" s="36" t="s">
        <v>58</v>
      </c>
      <c r="K156" s="38">
        <v>3</v>
      </c>
      <c r="L156" s="37"/>
      <c r="M156" s="38">
        <v>0</v>
      </c>
      <c r="N156" s="38">
        <v>0</v>
      </c>
      <c r="O156" s="36"/>
      <c r="P156" s="40">
        <v>42995.15953703</v>
      </c>
      <c r="Q156" s="40">
        <v>42995.47395833</v>
      </c>
      <c r="R156" s="42">
        <v>7.55</v>
      </c>
    </row>
    <row r="157" ht="13.5" customHeight="1" spans="1:18">
      <c r="A157" s="36"/>
      <c r="B157" s="36" t="s">
        <v>32</v>
      </c>
      <c r="C157" s="36"/>
      <c r="D157" s="36"/>
      <c r="E157" s="36" t="s">
        <v>5</v>
      </c>
      <c r="F157" s="36"/>
      <c r="G157" s="36" t="s">
        <v>60</v>
      </c>
      <c r="H157" s="36"/>
      <c r="I157" s="36"/>
      <c r="J157" s="36" t="s">
        <v>58</v>
      </c>
      <c r="K157" s="38">
        <v>3</v>
      </c>
      <c r="L157" s="37"/>
      <c r="M157" s="38">
        <v>0</v>
      </c>
      <c r="N157" s="38">
        <v>0</v>
      </c>
      <c r="O157" s="36"/>
      <c r="P157" s="40">
        <v>42995.31405092</v>
      </c>
      <c r="Q157" s="40">
        <v>42995.36421296</v>
      </c>
      <c r="R157" s="42">
        <v>1.2</v>
      </c>
    </row>
    <row r="158" ht="13.5" customHeight="1" spans="1:18">
      <c r="A158" s="36"/>
      <c r="B158" s="36" t="s">
        <v>32</v>
      </c>
      <c r="C158" s="36"/>
      <c r="D158" s="36"/>
      <c r="E158" s="36" t="s">
        <v>5</v>
      </c>
      <c r="F158" s="36"/>
      <c r="G158" s="36" t="s">
        <v>60</v>
      </c>
      <c r="H158" s="36"/>
      <c r="I158" s="36"/>
      <c r="J158" s="36" t="s">
        <v>58</v>
      </c>
      <c r="K158" s="38">
        <v>3</v>
      </c>
      <c r="L158" s="37"/>
      <c r="M158" s="38">
        <v>0</v>
      </c>
      <c r="N158" s="38">
        <v>0</v>
      </c>
      <c r="O158" s="36"/>
      <c r="P158" s="40">
        <v>42995.31405092</v>
      </c>
      <c r="Q158" s="40">
        <v>42995.36848379</v>
      </c>
      <c r="R158" s="42">
        <v>1.3</v>
      </c>
    </row>
    <row r="159" ht="13.5" customHeight="1" spans="1:18">
      <c r="A159" s="36"/>
      <c r="B159" s="36" t="s">
        <v>29</v>
      </c>
      <c r="C159" s="36"/>
      <c r="D159" s="36"/>
      <c r="E159" s="36" t="s">
        <v>5</v>
      </c>
      <c r="F159" s="36"/>
      <c r="G159" s="36" t="s">
        <v>73</v>
      </c>
      <c r="H159" s="36"/>
      <c r="I159" s="36"/>
      <c r="J159" s="36" t="s">
        <v>58</v>
      </c>
      <c r="K159" s="38">
        <v>3</v>
      </c>
      <c r="L159" s="37"/>
      <c r="M159" s="38">
        <v>0</v>
      </c>
      <c r="N159" s="38">
        <v>0</v>
      </c>
      <c r="O159" s="36"/>
      <c r="P159" s="40">
        <v>42995.36092592</v>
      </c>
      <c r="Q159" s="40">
        <v>42995.47236111</v>
      </c>
      <c r="R159" s="42">
        <v>2.666666666666</v>
      </c>
    </row>
    <row r="160" ht="13.5" customHeight="1" spans="1:18">
      <c r="A160" s="36"/>
      <c r="B160" s="36" t="s">
        <v>29</v>
      </c>
      <c r="C160" s="36"/>
      <c r="D160" s="36"/>
      <c r="E160" s="36" t="s">
        <v>5</v>
      </c>
      <c r="F160" s="36"/>
      <c r="G160" s="36" t="s">
        <v>73</v>
      </c>
      <c r="H160" s="36"/>
      <c r="I160" s="36"/>
      <c r="J160" s="36" t="s">
        <v>58</v>
      </c>
      <c r="K160" s="38">
        <v>3</v>
      </c>
      <c r="L160" s="37"/>
      <c r="M160" s="38">
        <v>0</v>
      </c>
      <c r="N160" s="38">
        <v>0</v>
      </c>
      <c r="O160" s="36"/>
      <c r="P160" s="40">
        <v>42995.42898148</v>
      </c>
      <c r="Q160" s="40">
        <v>42995.47173611</v>
      </c>
      <c r="R160" s="42">
        <v>1.033333333333</v>
      </c>
    </row>
    <row r="161" ht="13.5" customHeight="1" spans="1:18">
      <c r="A161" s="36"/>
      <c r="B161" s="36" t="s">
        <v>29</v>
      </c>
      <c r="C161" s="36"/>
      <c r="D161" s="36"/>
      <c r="E161" s="36" t="s">
        <v>5</v>
      </c>
      <c r="F161" s="36"/>
      <c r="G161" s="36" t="s">
        <v>73</v>
      </c>
      <c r="H161" s="36"/>
      <c r="I161" s="36"/>
      <c r="J161" s="36" t="s">
        <v>58</v>
      </c>
      <c r="K161" s="38">
        <v>3</v>
      </c>
      <c r="L161" s="37"/>
      <c r="M161" s="38">
        <v>0</v>
      </c>
      <c r="N161" s="38">
        <v>0</v>
      </c>
      <c r="O161" s="36"/>
      <c r="P161" s="40">
        <v>42995.46856481</v>
      </c>
      <c r="Q161" s="40">
        <v>42995.47533564</v>
      </c>
      <c r="R161" s="42">
        <v>0.166666666666</v>
      </c>
    </row>
    <row r="162" ht="13.5" customHeight="1" spans="1:18">
      <c r="A162" s="36"/>
      <c r="B162" s="36" t="s">
        <v>29</v>
      </c>
      <c r="C162" s="36"/>
      <c r="D162" s="36"/>
      <c r="E162" s="36" t="s">
        <v>5</v>
      </c>
      <c r="F162" s="36"/>
      <c r="G162" s="36" t="s">
        <v>73</v>
      </c>
      <c r="H162" s="36"/>
      <c r="I162" s="36"/>
      <c r="J162" s="36" t="s">
        <v>58</v>
      </c>
      <c r="K162" s="38">
        <v>3</v>
      </c>
      <c r="L162" s="37"/>
      <c r="M162" s="38">
        <v>0</v>
      </c>
      <c r="N162" s="38">
        <v>0</v>
      </c>
      <c r="O162" s="36"/>
      <c r="P162" s="40">
        <v>42995.47238425</v>
      </c>
      <c r="Q162" s="40">
        <v>42995.48008101</v>
      </c>
      <c r="R162" s="42">
        <v>0.183333333333</v>
      </c>
    </row>
    <row r="163" ht="13.5" customHeight="1" spans="1:18">
      <c r="A163" s="36"/>
      <c r="B163" s="36" t="s">
        <v>29</v>
      </c>
      <c r="C163" s="36"/>
      <c r="D163" s="36"/>
      <c r="E163" s="36" t="s">
        <v>5</v>
      </c>
      <c r="F163" s="36"/>
      <c r="G163" s="36" t="s">
        <v>73</v>
      </c>
      <c r="H163" s="36"/>
      <c r="I163" s="36"/>
      <c r="J163" s="36" t="s">
        <v>58</v>
      </c>
      <c r="K163" s="38">
        <v>3</v>
      </c>
      <c r="L163" s="37"/>
      <c r="M163" s="38">
        <v>0</v>
      </c>
      <c r="N163" s="38">
        <v>0</v>
      </c>
      <c r="O163" s="36"/>
      <c r="P163" s="40">
        <v>42995.48037037</v>
      </c>
      <c r="Q163" s="40">
        <v>42995.48135416</v>
      </c>
      <c r="R163" s="42">
        <v>0.016666666666</v>
      </c>
    </row>
    <row r="164" ht="13.5" customHeight="1" spans="1:18">
      <c r="A164" s="36"/>
      <c r="B164" s="36" t="s">
        <v>29</v>
      </c>
      <c r="C164" s="36"/>
      <c r="D164" s="36"/>
      <c r="E164" s="36" t="s">
        <v>5</v>
      </c>
      <c r="F164" s="36"/>
      <c r="G164" s="36" t="s">
        <v>60</v>
      </c>
      <c r="H164" s="36"/>
      <c r="I164" s="36"/>
      <c r="J164" s="36" t="s">
        <v>58</v>
      </c>
      <c r="K164" s="38">
        <v>3</v>
      </c>
      <c r="L164" s="37"/>
      <c r="M164" s="38">
        <v>0</v>
      </c>
      <c r="N164" s="38">
        <v>0</v>
      </c>
      <c r="O164" s="36"/>
      <c r="P164" s="40">
        <v>42996.01474537</v>
      </c>
      <c r="Q164" s="40">
        <v>42996.12923611</v>
      </c>
      <c r="R164" s="42">
        <v>2.75</v>
      </c>
    </row>
    <row r="165" ht="13.5" customHeight="1" spans="1:18">
      <c r="A165" s="36"/>
      <c r="B165" s="36" t="s">
        <v>29</v>
      </c>
      <c r="C165" s="36"/>
      <c r="D165" s="36"/>
      <c r="E165" s="36" t="s">
        <v>5</v>
      </c>
      <c r="F165" s="36"/>
      <c r="G165" s="36" t="s">
        <v>65</v>
      </c>
      <c r="H165" s="36"/>
      <c r="I165" s="36"/>
      <c r="J165" s="36" t="s">
        <v>58</v>
      </c>
      <c r="K165" s="38">
        <v>3</v>
      </c>
      <c r="L165" s="37"/>
      <c r="M165" s="38">
        <v>0</v>
      </c>
      <c r="N165" s="38">
        <v>0</v>
      </c>
      <c r="O165" s="36"/>
      <c r="P165" s="40">
        <v>42996.08766203</v>
      </c>
      <c r="Q165" s="40">
        <v>42996.12574074</v>
      </c>
      <c r="R165" s="42">
        <v>0.916666666666</v>
      </c>
    </row>
    <row r="166" ht="13.5" customHeight="1" spans="1:18">
      <c r="A166" s="36"/>
      <c r="B166" s="36" t="s">
        <v>32</v>
      </c>
      <c r="C166" s="36"/>
      <c r="D166" s="36"/>
      <c r="E166" s="36" t="s">
        <v>7</v>
      </c>
      <c r="F166" s="36"/>
      <c r="G166" s="36" t="s">
        <v>64</v>
      </c>
      <c r="H166" s="36"/>
      <c r="I166" s="36"/>
      <c r="J166" s="36" t="s">
        <v>58</v>
      </c>
      <c r="K166" s="38">
        <v>4</v>
      </c>
      <c r="L166" s="37"/>
      <c r="M166" s="38">
        <v>0</v>
      </c>
      <c r="N166" s="38">
        <v>0</v>
      </c>
      <c r="O166" s="36"/>
      <c r="P166" s="40">
        <v>42996.48739583</v>
      </c>
      <c r="Q166" s="40">
        <v>42996.49592592</v>
      </c>
      <c r="R166" s="42">
        <v>0.65</v>
      </c>
    </row>
    <row r="167" ht="13.5" customHeight="1" spans="1:18">
      <c r="A167" s="36"/>
      <c r="B167" s="36" t="s">
        <v>32</v>
      </c>
      <c r="C167" s="36"/>
      <c r="D167" s="36"/>
      <c r="E167" s="36" t="s">
        <v>7</v>
      </c>
      <c r="F167" s="36"/>
      <c r="G167" s="36" t="s">
        <v>63</v>
      </c>
      <c r="H167" s="36"/>
      <c r="I167" s="36"/>
      <c r="J167" s="36" t="s">
        <v>58</v>
      </c>
      <c r="K167" s="38">
        <v>3</v>
      </c>
      <c r="L167" s="37"/>
      <c r="M167" s="38">
        <v>0</v>
      </c>
      <c r="N167" s="38">
        <v>0</v>
      </c>
      <c r="O167" s="36"/>
      <c r="P167" s="40">
        <v>42996.64934027</v>
      </c>
      <c r="Q167" s="40">
        <v>42996.68203703</v>
      </c>
      <c r="R167" s="42">
        <v>0.816666666666</v>
      </c>
    </row>
    <row r="168" ht="13.5" customHeight="1" spans="1:18">
      <c r="A168" s="36"/>
      <c r="B168" s="36" t="s">
        <v>29</v>
      </c>
      <c r="C168" s="36"/>
      <c r="D168" s="36"/>
      <c r="E168" s="36" t="s">
        <v>5</v>
      </c>
      <c r="F168" s="36"/>
      <c r="G168" s="36" t="s">
        <v>59</v>
      </c>
      <c r="H168" s="36"/>
      <c r="I168" s="36"/>
      <c r="J168" s="36" t="s">
        <v>58</v>
      </c>
      <c r="K168" s="38">
        <v>3</v>
      </c>
      <c r="L168" s="37"/>
      <c r="M168" s="38">
        <v>0</v>
      </c>
      <c r="N168" s="38">
        <v>0</v>
      </c>
      <c r="O168" s="36"/>
      <c r="P168" s="40">
        <v>42996.7546875</v>
      </c>
      <c r="Q168" s="40">
        <v>42997.33038194</v>
      </c>
      <c r="R168" s="42">
        <v>13.816666666666</v>
      </c>
    </row>
    <row r="169" ht="13.5" customHeight="1" spans="1:18">
      <c r="A169" s="36"/>
      <c r="B169" s="36" t="s">
        <v>29</v>
      </c>
      <c r="C169" s="36"/>
      <c r="D169" s="36"/>
      <c r="E169" s="36" t="s">
        <v>5</v>
      </c>
      <c r="F169" s="36"/>
      <c r="G169" s="36" t="s">
        <v>59</v>
      </c>
      <c r="H169" s="36"/>
      <c r="I169" s="36"/>
      <c r="J169" s="36" t="s">
        <v>58</v>
      </c>
      <c r="K169" s="38">
        <v>3</v>
      </c>
      <c r="L169" s="37"/>
      <c r="M169" s="38">
        <v>0</v>
      </c>
      <c r="N169" s="38">
        <v>0</v>
      </c>
      <c r="O169" s="36"/>
      <c r="P169" s="40">
        <v>42996.8859375</v>
      </c>
      <c r="Q169" s="40">
        <v>42997.03818287</v>
      </c>
      <c r="R169" s="42">
        <v>3.65</v>
      </c>
    </row>
    <row r="170" ht="13.5" customHeight="1" spans="1:18">
      <c r="A170" s="36"/>
      <c r="B170" s="36" t="s">
        <v>29</v>
      </c>
      <c r="C170" s="36"/>
      <c r="D170" s="36"/>
      <c r="E170" s="36" t="s">
        <v>5</v>
      </c>
      <c r="F170" s="36"/>
      <c r="G170" s="36" t="s">
        <v>65</v>
      </c>
      <c r="H170" s="36"/>
      <c r="I170" s="36"/>
      <c r="J170" s="36" t="s">
        <v>58</v>
      </c>
      <c r="K170" s="38">
        <v>3</v>
      </c>
      <c r="L170" s="37"/>
      <c r="M170" s="38">
        <v>0</v>
      </c>
      <c r="N170" s="38">
        <v>0</v>
      </c>
      <c r="O170" s="36"/>
      <c r="P170" s="40">
        <v>42997.01232638</v>
      </c>
      <c r="Q170" s="40">
        <v>42997.33638888</v>
      </c>
      <c r="R170" s="42">
        <v>7.783333333333</v>
      </c>
    </row>
    <row r="171" ht="13.5" customHeight="1" spans="1:18">
      <c r="A171" s="36"/>
      <c r="B171" s="36" t="s">
        <v>29</v>
      </c>
      <c r="C171" s="36"/>
      <c r="D171" s="36"/>
      <c r="E171" s="36" t="s">
        <v>5</v>
      </c>
      <c r="F171" s="36"/>
      <c r="G171" s="36" t="s">
        <v>65</v>
      </c>
      <c r="H171" s="36"/>
      <c r="I171" s="36"/>
      <c r="J171" s="36" t="s">
        <v>58</v>
      </c>
      <c r="K171" s="38">
        <v>3</v>
      </c>
      <c r="L171" s="37"/>
      <c r="M171" s="38">
        <v>0</v>
      </c>
      <c r="N171" s="38">
        <v>0</v>
      </c>
      <c r="O171" s="36"/>
      <c r="P171" s="40">
        <v>42997.08836805</v>
      </c>
      <c r="Q171" s="40">
        <v>42997.15570601</v>
      </c>
      <c r="R171" s="42">
        <v>1.616666666666</v>
      </c>
    </row>
    <row r="172" ht="13.5" customHeight="1" spans="1:18">
      <c r="A172" s="36"/>
      <c r="B172" s="36" t="s">
        <v>29</v>
      </c>
      <c r="C172" s="36"/>
      <c r="D172" s="36"/>
      <c r="E172" s="36" t="s">
        <v>8</v>
      </c>
      <c r="F172" s="36"/>
      <c r="G172" s="36" t="s">
        <v>63</v>
      </c>
      <c r="H172" s="36"/>
      <c r="I172" s="36"/>
      <c r="J172" s="36" t="s">
        <v>58</v>
      </c>
      <c r="K172" s="38">
        <v>4</v>
      </c>
      <c r="L172" s="37"/>
      <c r="M172" s="38">
        <v>0</v>
      </c>
      <c r="N172" s="38">
        <v>0</v>
      </c>
      <c r="O172" s="36"/>
      <c r="P172" s="40">
        <v>42997.45241898</v>
      </c>
      <c r="Q172" s="40">
        <v>42998.56148148</v>
      </c>
      <c r="R172" s="42">
        <v>26.733333333333</v>
      </c>
    </row>
    <row r="173" ht="13.5" customHeight="1" spans="1:18">
      <c r="A173" s="36"/>
      <c r="B173" s="36" t="s">
        <v>29</v>
      </c>
      <c r="C173" s="36"/>
      <c r="D173" s="36"/>
      <c r="E173" s="36" t="s">
        <v>5</v>
      </c>
      <c r="F173" s="36"/>
      <c r="G173" s="36" t="s">
        <v>60</v>
      </c>
      <c r="H173" s="36"/>
      <c r="I173" s="36"/>
      <c r="J173" s="36" t="s">
        <v>58</v>
      </c>
      <c r="K173" s="38">
        <v>3</v>
      </c>
      <c r="L173" s="37"/>
      <c r="M173" s="38">
        <v>0</v>
      </c>
      <c r="N173" s="38">
        <v>0</v>
      </c>
      <c r="O173" s="36"/>
      <c r="P173" s="40">
        <v>42997.69982638</v>
      </c>
      <c r="Q173" s="40">
        <v>42998.22674768</v>
      </c>
      <c r="R173" s="42">
        <v>12.65</v>
      </c>
    </row>
    <row r="174" ht="13.5" customHeight="1" spans="1:18">
      <c r="A174" s="36"/>
      <c r="B174" s="36" t="s">
        <v>29</v>
      </c>
      <c r="C174" s="36"/>
      <c r="D174" s="36"/>
      <c r="E174" s="36" t="s">
        <v>5</v>
      </c>
      <c r="F174" s="36"/>
      <c r="G174" s="36" t="s">
        <v>73</v>
      </c>
      <c r="H174" s="36"/>
      <c r="I174" s="36"/>
      <c r="J174" s="36" t="s">
        <v>58</v>
      </c>
      <c r="K174" s="38">
        <v>3</v>
      </c>
      <c r="L174" s="37"/>
      <c r="M174" s="38">
        <v>0</v>
      </c>
      <c r="N174" s="38">
        <v>0</v>
      </c>
      <c r="O174" s="36"/>
      <c r="P174" s="40">
        <v>42997.80329861</v>
      </c>
      <c r="Q174" s="40">
        <v>42998.35667824</v>
      </c>
      <c r="R174" s="42">
        <v>13.283333333333</v>
      </c>
    </row>
    <row r="175" ht="13.5" customHeight="1" spans="1:18">
      <c r="A175" s="36"/>
      <c r="B175" s="36" t="s">
        <v>29</v>
      </c>
      <c r="C175" s="36"/>
      <c r="D175" s="36"/>
      <c r="E175" s="36" t="s">
        <v>5</v>
      </c>
      <c r="F175" s="36"/>
      <c r="G175" s="37"/>
      <c r="H175" s="37"/>
      <c r="I175" s="37"/>
      <c r="J175" s="36" t="s">
        <v>58</v>
      </c>
      <c r="K175" s="38">
        <v>3</v>
      </c>
      <c r="L175" s="37"/>
      <c r="M175" s="38">
        <v>0</v>
      </c>
      <c r="N175" s="38">
        <v>1</v>
      </c>
      <c r="O175" s="36"/>
      <c r="P175" s="40">
        <v>42997.85190972</v>
      </c>
      <c r="Q175" s="40">
        <v>42998.14108796</v>
      </c>
      <c r="R175" s="38">
        <v>0</v>
      </c>
    </row>
    <row r="176" ht="13.5" customHeight="1" spans="1:18">
      <c r="A176" s="36"/>
      <c r="B176" s="36" t="s">
        <v>29</v>
      </c>
      <c r="C176" s="36"/>
      <c r="D176" s="36"/>
      <c r="E176" s="36" t="s">
        <v>5</v>
      </c>
      <c r="F176" s="36"/>
      <c r="G176" s="37"/>
      <c r="H176" s="37"/>
      <c r="I176" s="37"/>
      <c r="J176" s="36" t="s">
        <v>58</v>
      </c>
      <c r="K176" s="38">
        <v>3</v>
      </c>
      <c r="L176" s="37"/>
      <c r="M176" s="38">
        <v>0</v>
      </c>
      <c r="N176" s="38">
        <v>1</v>
      </c>
      <c r="O176" s="36"/>
      <c r="P176" s="40">
        <v>42997.86579861</v>
      </c>
      <c r="Q176" s="40">
        <v>42998.14129629</v>
      </c>
      <c r="R176" s="38">
        <v>0</v>
      </c>
    </row>
    <row r="177" ht="13.5" customHeight="1" spans="1:18">
      <c r="A177" s="36"/>
      <c r="B177" s="36" t="s">
        <v>29</v>
      </c>
      <c r="C177" s="36"/>
      <c r="D177" s="36"/>
      <c r="E177" s="36" t="s">
        <v>5</v>
      </c>
      <c r="F177" s="36"/>
      <c r="G177" s="37"/>
      <c r="H177" s="37"/>
      <c r="I177" s="37"/>
      <c r="J177" s="36" t="s">
        <v>58</v>
      </c>
      <c r="K177" s="38">
        <v>3</v>
      </c>
      <c r="L177" s="37"/>
      <c r="M177" s="38">
        <v>0</v>
      </c>
      <c r="N177" s="38">
        <v>1</v>
      </c>
      <c r="O177" s="36"/>
      <c r="P177" s="40">
        <v>42997.87831018</v>
      </c>
      <c r="Q177" s="40">
        <v>42998.14174768</v>
      </c>
      <c r="R177" s="38">
        <v>0</v>
      </c>
    </row>
    <row r="178" ht="13.5" customHeight="1" spans="1:18">
      <c r="A178" s="36"/>
      <c r="B178" s="36" t="s">
        <v>32</v>
      </c>
      <c r="C178" s="36"/>
      <c r="D178" s="36"/>
      <c r="E178" s="36" t="s">
        <v>5</v>
      </c>
      <c r="F178" s="36"/>
      <c r="G178" s="36" t="s">
        <v>63</v>
      </c>
      <c r="H178" s="36"/>
      <c r="I178" s="36"/>
      <c r="J178" s="36" t="s">
        <v>58</v>
      </c>
      <c r="K178" s="38">
        <v>3</v>
      </c>
      <c r="L178" s="37"/>
      <c r="M178" s="38">
        <v>0</v>
      </c>
      <c r="N178" s="38">
        <v>0</v>
      </c>
      <c r="O178" s="36"/>
      <c r="P178" s="40">
        <v>42997.90504629</v>
      </c>
      <c r="Q178" s="40">
        <v>42997.93247685</v>
      </c>
      <c r="R178" s="42">
        <v>0.666666666666</v>
      </c>
    </row>
    <row r="179" ht="13.5" customHeight="1" spans="1:18">
      <c r="A179" s="36"/>
      <c r="B179" s="36" t="s">
        <v>32</v>
      </c>
      <c r="C179" s="36"/>
      <c r="D179" s="36"/>
      <c r="E179" s="36" t="s">
        <v>5</v>
      </c>
      <c r="F179" s="36"/>
      <c r="G179" s="36" t="s">
        <v>63</v>
      </c>
      <c r="H179" s="36"/>
      <c r="I179" s="36"/>
      <c r="J179" s="36" t="s">
        <v>58</v>
      </c>
      <c r="K179" s="38">
        <v>3</v>
      </c>
      <c r="L179" s="37"/>
      <c r="M179" s="38">
        <v>0</v>
      </c>
      <c r="N179" s="38">
        <v>0</v>
      </c>
      <c r="O179" s="36"/>
      <c r="P179" s="40">
        <v>42997.90504629</v>
      </c>
      <c r="Q179" s="40">
        <v>42997.93293981</v>
      </c>
      <c r="R179" s="42">
        <v>0.666666666666</v>
      </c>
    </row>
    <row r="180" ht="13.5" customHeight="1" spans="1:18">
      <c r="A180" s="36"/>
      <c r="B180" s="36" t="s">
        <v>29</v>
      </c>
      <c r="C180" s="36"/>
      <c r="D180" s="36"/>
      <c r="E180" s="36" t="s">
        <v>5</v>
      </c>
      <c r="F180" s="36"/>
      <c r="G180" s="37"/>
      <c r="H180" s="37"/>
      <c r="I180" s="37"/>
      <c r="J180" s="36" t="s">
        <v>58</v>
      </c>
      <c r="K180" s="38">
        <v>3</v>
      </c>
      <c r="L180" s="37"/>
      <c r="M180" s="38">
        <v>0</v>
      </c>
      <c r="N180" s="38">
        <v>1</v>
      </c>
      <c r="O180" s="36"/>
      <c r="P180" s="40">
        <v>42997.90746527</v>
      </c>
      <c r="Q180" s="40">
        <v>42998.14233796</v>
      </c>
      <c r="R180" s="38">
        <v>0</v>
      </c>
    </row>
    <row r="181" ht="13.5" customHeight="1" spans="1:18">
      <c r="A181" s="36"/>
      <c r="B181" s="36" t="s">
        <v>29</v>
      </c>
      <c r="C181" s="36"/>
      <c r="D181" s="36"/>
      <c r="E181" s="36" t="s">
        <v>5</v>
      </c>
      <c r="F181" s="36"/>
      <c r="G181" s="36" t="s">
        <v>65</v>
      </c>
      <c r="H181" s="36"/>
      <c r="I181" s="36"/>
      <c r="J181" s="36" t="s">
        <v>58</v>
      </c>
      <c r="K181" s="38">
        <v>3</v>
      </c>
      <c r="L181" s="37"/>
      <c r="M181" s="38">
        <v>0</v>
      </c>
      <c r="N181" s="38">
        <v>0</v>
      </c>
      <c r="O181" s="36"/>
      <c r="P181" s="40">
        <v>42998.08767361</v>
      </c>
      <c r="Q181" s="40">
        <v>42998.18380787</v>
      </c>
      <c r="R181" s="42">
        <v>2.3</v>
      </c>
    </row>
    <row r="182" ht="13.5" customHeight="1" spans="1:18">
      <c r="A182" s="36"/>
      <c r="B182" s="36" t="s">
        <v>29</v>
      </c>
      <c r="C182" s="36"/>
      <c r="D182" s="36"/>
      <c r="E182" s="36" t="s">
        <v>5</v>
      </c>
      <c r="F182" s="36"/>
      <c r="G182" s="36" t="s">
        <v>59</v>
      </c>
      <c r="H182" s="36"/>
      <c r="I182" s="36"/>
      <c r="J182" s="36" t="s">
        <v>58</v>
      </c>
      <c r="K182" s="38">
        <v>3</v>
      </c>
      <c r="L182" s="37"/>
      <c r="M182" s="38">
        <v>0</v>
      </c>
      <c r="N182" s="38">
        <v>0</v>
      </c>
      <c r="O182" s="36"/>
      <c r="P182" s="40">
        <v>42998.17900463</v>
      </c>
      <c r="Q182" s="40">
        <v>42998.35554398</v>
      </c>
      <c r="R182" s="42">
        <v>4.233333333333</v>
      </c>
    </row>
    <row r="183" ht="13.5" customHeight="1" spans="1:18">
      <c r="A183" s="36"/>
      <c r="B183" s="36" t="s">
        <v>29</v>
      </c>
      <c r="C183" s="36"/>
      <c r="D183" s="36"/>
      <c r="E183" s="36" t="s">
        <v>5</v>
      </c>
      <c r="F183" s="36"/>
      <c r="G183" s="36" t="s">
        <v>73</v>
      </c>
      <c r="H183" s="36"/>
      <c r="I183" s="36"/>
      <c r="J183" s="36" t="s">
        <v>58</v>
      </c>
      <c r="K183" s="38">
        <v>3</v>
      </c>
      <c r="L183" s="37"/>
      <c r="M183" s="38">
        <v>0</v>
      </c>
      <c r="N183" s="38">
        <v>0</v>
      </c>
      <c r="O183" s="36"/>
      <c r="P183" s="40">
        <v>42998.1817824</v>
      </c>
      <c r="Q183" s="40">
        <v>42998.25671296</v>
      </c>
      <c r="R183" s="42">
        <v>1.8</v>
      </c>
    </row>
    <row r="184" ht="13.5" customHeight="1" spans="1:18">
      <c r="A184" s="36"/>
      <c r="B184" s="36" t="s">
        <v>32</v>
      </c>
      <c r="C184" s="36"/>
      <c r="D184" s="36"/>
      <c r="E184" s="36" t="s">
        <v>7</v>
      </c>
      <c r="F184" s="36"/>
      <c r="G184" s="36" t="s">
        <v>57</v>
      </c>
      <c r="H184" s="36"/>
      <c r="I184" s="36"/>
      <c r="J184" s="36" t="s">
        <v>58</v>
      </c>
      <c r="K184" s="38">
        <v>3</v>
      </c>
      <c r="L184" s="37"/>
      <c r="M184" s="38">
        <v>0</v>
      </c>
      <c r="N184" s="38">
        <v>0</v>
      </c>
      <c r="O184" s="36"/>
      <c r="P184" s="40">
        <v>42998.1880324</v>
      </c>
      <c r="Q184" s="40">
        <v>42998.35798611</v>
      </c>
      <c r="R184" s="42">
        <v>4.083333333333</v>
      </c>
    </row>
    <row r="185" ht="13.5" customHeight="1" spans="1:18">
      <c r="A185" s="36"/>
      <c r="B185" s="36" t="s">
        <v>32</v>
      </c>
      <c r="C185" s="36"/>
      <c r="D185" s="36"/>
      <c r="E185" s="36" t="s">
        <v>7</v>
      </c>
      <c r="F185" s="36"/>
      <c r="G185" s="36" t="s">
        <v>73</v>
      </c>
      <c r="H185" s="36"/>
      <c r="I185" s="36"/>
      <c r="J185" s="36" t="s">
        <v>58</v>
      </c>
      <c r="K185" s="38">
        <v>3</v>
      </c>
      <c r="L185" s="37"/>
      <c r="M185" s="38">
        <v>0</v>
      </c>
      <c r="N185" s="38">
        <v>0</v>
      </c>
      <c r="O185" s="36"/>
      <c r="P185" s="40">
        <v>42998.49324074</v>
      </c>
      <c r="Q185" s="40">
        <v>42999.08236111</v>
      </c>
      <c r="R185" s="42">
        <v>14.133333333333</v>
      </c>
    </row>
    <row r="186" ht="13.5" customHeight="1" spans="1:18">
      <c r="A186" s="36"/>
      <c r="B186" s="36" t="s">
        <v>29</v>
      </c>
      <c r="C186" s="36"/>
      <c r="D186" s="36"/>
      <c r="E186" s="36" t="s">
        <v>8</v>
      </c>
      <c r="F186" s="36"/>
      <c r="G186" s="36" t="s">
        <v>60</v>
      </c>
      <c r="H186" s="36"/>
      <c r="I186" s="36"/>
      <c r="J186" s="36" t="s">
        <v>58</v>
      </c>
      <c r="K186" s="38">
        <v>4</v>
      </c>
      <c r="L186" s="37"/>
      <c r="M186" s="38">
        <v>0</v>
      </c>
      <c r="N186" s="38">
        <v>0</v>
      </c>
      <c r="O186" s="36"/>
      <c r="P186" s="40">
        <v>42998.68039351</v>
      </c>
      <c r="Q186" s="40">
        <v>42998.74747685</v>
      </c>
      <c r="R186" s="42">
        <v>1.65</v>
      </c>
    </row>
    <row r="187" ht="13.5" customHeight="1" spans="1:18">
      <c r="A187" s="36"/>
      <c r="B187" s="36" t="s">
        <v>29</v>
      </c>
      <c r="C187" s="36"/>
      <c r="D187" s="36"/>
      <c r="E187" s="36" t="s">
        <v>5</v>
      </c>
      <c r="F187" s="36"/>
      <c r="G187" s="36" t="s">
        <v>59</v>
      </c>
      <c r="H187" s="36"/>
      <c r="I187" s="36"/>
      <c r="J187" s="36" t="s">
        <v>58</v>
      </c>
      <c r="K187" s="38">
        <v>3</v>
      </c>
      <c r="L187" s="37"/>
      <c r="M187" s="38">
        <v>0</v>
      </c>
      <c r="N187" s="38">
        <v>0</v>
      </c>
      <c r="O187" s="36"/>
      <c r="P187" s="40">
        <v>42998.8852662</v>
      </c>
      <c r="Q187" s="40">
        <v>42999.08564814</v>
      </c>
      <c r="R187" s="42">
        <v>4.816666666666</v>
      </c>
    </row>
    <row r="188" ht="13.5" customHeight="1" spans="1:18">
      <c r="A188" s="36"/>
      <c r="B188" s="36" t="s">
        <v>29</v>
      </c>
      <c r="C188" s="36"/>
      <c r="D188" s="36"/>
      <c r="E188" s="36" t="s">
        <v>5</v>
      </c>
      <c r="F188" s="36"/>
      <c r="G188" s="36" t="s">
        <v>60</v>
      </c>
      <c r="H188" s="36"/>
      <c r="I188" s="36"/>
      <c r="J188" s="36" t="s">
        <v>58</v>
      </c>
      <c r="K188" s="38">
        <v>3</v>
      </c>
      <c r="L188" s="37"/>
      <c r="M188" s="38">
        <v>0</v>
      </c>
      <c r="N188" s="38">
        <v>0</v>
      </c>
      <c r="O188" s="36"/>
      <c r="P188" s="40">
        <v>42999.0099074</v>
      </c>
      <c r="Q188" s="40">
        <v>42999.09217592</v>
      </c>
      <c r="R188" s="42">
        <v>1.966666666666</v>
      </c>
    </row>
    <row r="189" ht="13.5" customHeight="1" spans="1:18">
      <c r="A189" s="36"/>
      <c r="B189" s="36" t="s">
        <v>29</v>
      </c>
      <c r="C189" s="36"/>
      <c r="D189" s="36"/>
      <c r="E189" s="36" t="s">
        <v>5</v>
      </c>
      <c r="F189" s="36"/>
      <c r="G189" s="36" t="s">
        <v>65</v>
      </c>
      <c r="H189" s="36"/>
      <c r="I189" s="36"/>
      <c r="J189" s="36" t="s">
        <v>58</v>
      </c>
      <c r="K189" s="38">
        <v>3</v>
      </c>
      <c r="L189" s="37"/>
      <c r="M189" s="38">
        <v>0</v>
      </c>
      <c r="N189" s="38">
        <v>0</v>
      </c>
      <c r="O189" s="36"/>
      <c r="P189" s="40">
        <v>42999.08768518</v>
      </c>
      <c r="Q189" s="40">
        <v>42999.11755787</v>
      </c>
      <c r="R189" s="42">
        <v>0.716666666666</v>
      </c>
    </row>
    <row r="190" ht="13.5" customHeight="1" spans="1:18">
      <c r="A190" s="36"/>
      <c r="B190" s="36" t="s">
        <v>29</v>
      </c>
      <c r="C190" s="36"/>
      <c r="D190" s="36"/>
      <c r="E190" s="36" t="s">
        <v>5</v>
      </c>
      <c r="F190" s="36"/>
      <c r="G190" s="36" t="s">
        <v>59</v>
      </c>
      <c r="H190" s="36"/>
      <c r="I190" s="36"/>
      <c r="J190" s="36" t="s">
        <v>58</v>
      </c>
      <c r="K190" s="38">
        <v>3</v>
      </c>
      <c r="L190" s="37"/>
      <c r="M190" s="38">
        <v>0</v>
      </c>
      <c r="N190" s="38">
        <v>0</v>
      </c>
      <c r="O190" s="36"/>
      <c r="P190" s="40">
        <v>42999.19601851</v>
      </c>
      <c r="Q190" s="40">
        <v>42999.2415625</v>
      </c>
      <c r="R190" s="42">
        <v>1.1</v>
      </c>
    </row>
    <row r="191" ht="13.5" customHeight="1" spans="1:18">
      <c r="A191" s="36"/>
      <c r="B191" s="36" t="s">
        <v>32</v>
      </c>
      <c r="C191" s="36"/>
      <c r="D191" s="36"/>
      <c r="E191" s="36" t="s">
        <v>6</v>
      </c>
      <c r="F191" s="36"/>
      <c r="G191" s="36" t="s">
        <v>60</v>
      </c>
      <c r="H191" s="36"/>
      <c r="I191" s="36"/>
      <c r="J191" s="36" t="s">
        <v>58</v>
      </c>
      <c r="K191" s="38">
        <v>3</v>
      </c>
      <c r="L191" s="37"/>
      <c r="M191" s="38">
        <v>0</v>
      </c>
      <c r="N191" s="38">
        <v>0</v>
      </c>
      <c r="O191" s="36"/>
      <c r="P191" s="40">
        <v>42999.39231481</v>
      </c>
      <c r="Q191" s="40">
        <v>42999.40451388</v>
      </c>
      <c r="R191" s="42">
        <v>0.433333333333</v>
      </c>
    </row>
    <row r="192" ht="13.5" customHeight="1" spans="1:18">
      <c r="A192" s="36"/>
      <c r="B192" s="36" t="s">
        <v>29</v>
      </c>
      <c r="C192" s="36"/>
      <c r="D192" s="36"/>
      <c r="E192" s="36" t="s">
        <v>5</v>
      </c>
      <c r="F192" s="36"/>
      <c r="G192" s="36" t="s">
        <v>65</v>
      </c>
      <c r="H192" s="36"/>
      <c r="I192" s="36"/>
      <c r="J192" s="36" t="s">
        <v>58</v>
      </c>
      <c r="K192" s="38">
        <v>3</v>
      </c>
      <c r="L192" s="37"/>
      <c r="M192" s="38">
        <v>0</v>
      </c>
      <c r="N192" s="38">
        <v>0</v>
      </c>
      <c r="O192" s="36"/>
      <c r="P192" s="40">
        <v>42999.52728009</v>
      </c>
      <c r="Q192" s="40">
        <v>43000.11231481</v>
      </c>
      <c r="R192" s="42">
        <v>14.033333333333</v>
      </c>
    </row>
    <row r="193" ht="13.5" customHeight="1" spans="1:18">
      <c r="A193" s="36"/>
      <c r="B193" s="36" t="s">
        <v>29</v>
      </c>
      <c r="C193" s="36"/>
      <c r="D193" s="36"/>
      <c r="E193" s="36" t="s">
        <v>5</v>
      </c>
      <c r="F193" s="36"/>
      <c r="G193" s="36" t="s">
        <v>68</v>
      </c>
      <c r="H193" s="36"/>
      <c r="I193" s="36"/>
      <c r="J193" s="36" t="s">
        <v>58</v>
      </c>
      <c r="K193" s="38">
        <v>3</v>
      </c>
      <c r="L193" s="37"/>
      <c r="M193" s="38">
        <v>0</v>
      </c>
      <c r="N193" s="38">
        <v>0</v>
      </c>
      <c r="O193" s="36"/>
      <c r="P193" s="40">
        <v>42999.80366898</v>
      </c>
      <c r="Q193" s="40">
        <v>43000.2258912</v>
      </c>
      <c r="R193" s="42">
        <v>10.133333333333</v>
      </c>
    </row>
    <row r="194" ht="13.5" customHeight="1" spans="1:18">
      <c r="A194" s="36"/>
      <c r="B194" s="36" t="s">
        <v>29</v>
      </c>
      <c r="C194" s="36"/>
      <c r="D194" s="36"/>
      <c r="E194" s="36" t="s">
        <v>5</v>
      </c>
      <c r="F194" s="36"/>
      <c r="G194" s="36" t="s">
        <v>68</v>
      </c>
      <c r="H194" s="36"/>
      <c r="I194" s="36"/>
      <c r="J194" s="36" t="s">
        <v>58</v>
      </c>
      <c r="K194" s="38">
        <v>3</v>
      </c>
      <c r="L194" s="37"/>
      <c r="M194" s="38">
        <v>0</v>
      </c>
      <c r="N194" s="38">
        <v>0</v>
      </c>
      <c r="O194" s="36"/>
      <c r="P194" s="40">
        <v>42999.8071412</v>
      </c>
      <c r="Q194" s="40">
        <v>43000.17502314</v>
      </c>
      <c r="R194" s="42">
        <v>8.833333333333</v>
      </c>
    </row>
    <row r="195" ht="13.5" customHeight="1" spans="1:18">
      <c r="A195" s="36"/>
      <c r="B195" s="36" t="s">
        <v>29</v>
      </c>
      <c r="C195" s="36"/>
      <c r="D195" s="36"/>
      <c r="E195" s="36" t="s">
        <v>5</v>
      </c>
      <c r="F195" s="36"/>
      <c r="G195" s="36" t="s">
        <v>73</v>
      </c>
      <c r="H195" s="36"/>
      <c r="I195" s="36"/>
      <c r="J195" s="36" t="s">
        <v>58</v>
      </c>
      <c r="K195" s="38">
        <v>3</v>
      </c>
      <c r="L195" s="37"/>
      <c r="M195" s="38">
        <v>0</v>
      </c>
      <c r="N195" s="38">
        <v>0</v>
      </c>
      <c r="O195" s="36"/>
      <c r="P195" s="40">
        <v>42999.87832175</v>
      </c>
      <c r="Q195" s="40">
        <v>43000.22681713</v>
      </c>
      <c r="R195" s="42">
        <v>8.366666666666</v>
      </c>
    </row>
    <row r="196" ht="13.5" customHeight="1" spans="1:18">
      <c r="A196" s="36"/>
      <c r="B196" s="36" t="s">
        <v>29</v>
      </c>
      <c r="C196" s="36"/>
      <c r="D196" s="36"/>
      <c r="E196" s="36" t="s">
        <v>5</v>
      </c>
      <c r="F196" s="36"/>
      <c r="G196" s="36" t="s">
        <v>60</v>
      </c>
      <c r="H196" s="36"/>
      <c r="I196" s="36"/>
      <c r="J196" s="36" t="s">
        <v>58</v>
      </c>
      <c r="K196" s="38">
        <v>3</v>
      </c>
      <c r="L196" s="37"/>
      <c r="M196" s="38">
        <v>0</v>
      </c>
      <c r="N196" s="38">
        <v>0</v>
      </c>
      <c r="O196" s="36"/>
      <c r="P196" s="40">
        <v>43000.00922453</v>
      </c>
      <c r="Q196" s="40">
        <v>43000.23190972</v>
      </c>
      <c r="R196" s="42">
        <v>5.35</v>
      </c>
    </row>
    <row r="197" ht="13.5" customHeight="1" spans="1:18">
      <c r="A197" s="36"/>
      <c r="B197" s="36" t="s">
        <v>29</v>
      </c>
      <c r="C197" s="36"/>
      <c r="D197" s="36"/>
      <c r="E197" s="36" t="s">
        <v>5</v>
      </c>
      <c r="F197" s="36"/>
      <c r="G197" s="36" t="s">
        <v>73</v>
      </c>
      <c r="H197" s="36"/>
      <c r="I197" s="36"/>
      <c r="J197" s="36" t="s">
        <v>58</v>
      </c>
      <c r="K197" s="38">
        <v>3</v>
      </c>
      <c r="L197" s="37"/>
      <c r="M197" s="38">
        <v>0</v>
      </c>
      <c r="N197" s="38">
        <v>0</v>
      </c>
      <c r="O197" s="36"/>
      <c r="P197" s="40">
        <v>43000.14741898</v>
      </c>
      <c r="Q197" s="40">
        <v>43000.17590277</v>
      </c>
      <c r="R197" s="42">
        <v>0.683333333333</v>
      </c>
    </row>
    <row r="198" ht="13.5" customHeight="1" spans="1:18">
      <c r="A198" s="36"/>
      <c r="B198" s="36" t="s">
        <v>29</v>
      </c>
      <c r="C198" s="36"/>
      <c r="D198" s="36"/>
      <c r="E198" s="36" t="s">
        <v>5</v>
      </c>
      <c r="F198" s="36"/>
      <c r="G198" s="36" t="s">
        <v>65</v>
      </c>
      <c r="H198" s="36"/>
      <c r="I198" s="36"/>
      <c r="J198" s="36" t="s">
        <v>58</v>
      </c>
      <c r="K198" s="38">
        <v>3</v>
      </c>
      <c r="L198" s="37"/>
      <c r="M198" s="38">
        <v>0</v>
      </c>
      <c r="N198" s="38">
        <v>0</v>
      </c>
      <c r="O198" s="36"/>
      <c r="P198" s="40">
        <v>43000.18873842</v>
      </c>
      <c r="Q198" s="40">
        <v>43000.37126157</v>
      </c>
      <c r="R198" s="42">
        <v>4.383333333333</v>
      </c>
    </row>
    <row r="199" ht="13.5" customHeight="1" spans="1:18">
      <c r="A199" s="36"/>
      <c r="B199" s="36" t="s">
        <v>29</v>
      </c>
      <c r="C199" s="36"/>
      <c r="D199" s="36"/>
      <c r="E199" s="36" t="s">
        <v>5</v>
      </c>
      <c r="F199" s="36"/>
      <c r="G199" s="36" t="s">
        <v>63</v>
      </c>
      <c r="H199" s="36"/>
      <c r="I199" s="36"/>
      <c r="J199" s="36" t="s">
        <v>58</v>
      </c>
      <c r="K199" s="38">
        <v>4</v>
      </c>
      <c r="L199" s="37"/>
      <c r="M199" s="38">
        <v>0</v>
      </c>
      <c r="N199" s="38">
        <v>0</v>
      </c>
      <c r="O199" s="36"/>
      <c r="P199" s="40">
        <v>43000.78423611</v>
      </c>
      <c r="Q199" s="40">
        <v>43001.83672453</v>
      </c>
      <c r="R199" s="42">
        <v>25.266666666666</v>
      </c>
    </row>
    <row r="200" ht="13.5" customHeight="1" spans="1:18">
      <c r="A200" s="36"/>
      <c r="B200" s="36" t="s">
        <v>29</v>
      </c>
      <c r="C200" s="36"/>
      <c r="D200" s="36"/>
      <c r="E200" s="36" t="s">
        <v>5</v>
      </c>
      <c r="F200" s="36"/>
      <c r="G200" s="36" t="s">
        <v>60</v>
      </c>
      <c r="H200" s="36"/>
      <c r="I200" s="36"/>
      <c r="J200" s="36" t="s">
        <v>58</v>
      </c>
      <c r="K200" s="38">
        <v>3</v>
      </c>
      <c r="L200" s="37"/>
      <c r="M200" s="38">
        <v>0</v>
      </c>
      <c r="N200" s="38">
        <v>0</v>
      </c>
      <c r="O200" s="36"/>
      <c r="P200" s="40">
        <v>43001.00993055</v>
      </c>
      <c r="Q200" s="40">
        <v>43001.50876157</v>
      </c>
      <c r="R200" s="42">
        <v>11.966666666666</v>
      </c>
    </row>
    <row r="201" ht="13.5" customHeight="1" spans="1:18">
      <c r="A201" s="36"/>
      <c r="B201" s="36" t="s">
        <v>29</v>
      </c>
      <c r="C201" s="36"/>
      <c r="D201" s="36"/>
      <c r="E201" s="36" t="s">
        <v>5</v>
      </c>
      <c r="F201" s="36"/>
      <c r="G201" s="36" t="s">
        <v>73</v>
      </c>
      <c r="H201" s="36"/>
      <c r="I201" s="36"/>
      <c r="J201" s="36" t="s">
        <v>58</v>
      </c>
      <c r="K201" s="38">
        <v>3</v>
      </c>
      <c r="L201" s="37"/>
      <c r="M201" s="38">
        <v>0</v>
      </c>
      <c r="N201" s="38">
        <v>0</v>
      </c>
      <c r="O201" s="36"/>
      <c r="P201" s="40">
        <v>43001.30263888</v>
      </c>
      <c r="Q201" s="40">
        <v>43001.83728009</v>
      </c>
      <c r="R201" s="42">
        <v>12.833333333333</v>
      </c>
    </row>
    <row r="202" ht="13.5" customHeight="1" spans="1:18">
      <c r="A202" s="36"/>
      <c r="B202" s="36" t="s">
        <v>32</v>
      </c>
      <c r="C202" s="36"/>
      <c r="D202" s="36"/>
      <c r="E202" s="36" t="s">
        <v>7</v>
      </c>
      <c r="F202" s="36"/>
      <c r="G202" s="36" t="s">
        <v>60</v>
      </c>
      <c r="H202" s="36"/>
      <c r="I202" s="36"/>
      <c r="J202" s="36" t="s">
        <v>58</v>
      </c>
      <c r="K202" s="38">
        <v>3</v>
      </c>
      <c r="L202" s="37"/>
      <c r="M202" s="38">
        <v>0</v>
      </c>
      <c r="N202" s="38">
        <v>0</v>
      </c>
      <c r="O202" s="36"/>
      <c r="P202" s="40">
        <v>43001.885625</v>
      </c>
      <c r="Q202" s="40">
        <v>43002.4430787</v>
      </c>
      <c r="R202" s="42">
        <v>13.383333333333</v>
      </c>
    </row>
    <row r="203" ht="13.5" customHeight="1" spans="1:18">
      <c r="A203" s="36"/>
      <c r="B203" s="36" t="s">
        <v>32</v>
      </c>
      <c r="C203" s="36"/>
      <c r="D203" s="36"/>
      <c r="E203" s="36" t="s">
        <v>6</v>
      </c>
      <c r="F203" s="36"/>
      <c r="G203" s="36" t="s">
        <v>61</v>
      </c>
      <c r="H203" s="36"/>
      <c r="I203" s="36"/>
      <c r="J203" s="36" t="s">
        <v>58</v>
      </c>
      <c r="K203" s="38">
        <v>3</v>
      </c>
      <c r="L203" s="37"/>
      <c r="M203" s="38">
        <v>0</v>
      </c>
      <c r="N203" s="38">
        <v>0</v>
      </c>
      <c r="O203" s="36"/>
      <c r="P203" s="40">
        <v>43001.89083333</v>
      </c>
      <c r="Q203" s="40">
        <v>43002.5112037</v>
      </c>
      <c r="R203" s="42">
        <v>14.883333333333</v>
      </c>
    </row>
    <row r="204" ht="13.5" customHeight="1" spans="1:18">
      <c r="A204" s="36"/>
      <c r="B204" s="36" t="s">
        <v>29</v>
      </c>
      <c r="C204" s="36"/>
      <c r="D204" s="36"/>
      <c r="E204" s="36" t="s">
        <v>5</v>
      </c>
      <c r="F204" s="36"/>
      <c r="G204" s="36" t="s">
        <v>60</v>
      </c>
      <c r="H204" s="36"/>
      <c r="I204" s="36"/>
      <c r="J204" s="36" t="s">
        <v>58</v>
      </c>
      <c r="K204" s="38">
        <v>3</v>
      </c>
      <c r="L204" s="37"/>
      <c r="M204" s="38">
        <v>0</v>
      </c>
      <c r="N204" s="38">
        <v>0</v>
      </c>
      <c r="O204" s="36"/>
      <c r="P204" s="40">
        <v>43002.00855324</v>
      </c>
      <c r="Q204" s="40">
        <v>43002.16387731</v>
      </c>
      <c r="R204" s="42">
        <v>3.733333333333</v>
      </c>
    </row>
    <row r="205" ht="13.5" customHeight="1" spans="1:18">
      <c r="A205" s="36"/>
      <c r="B205" s="36" t="s">
        <v>29</v>
      </c>
      <c r="C205" s="36"/>
      <c r="D205" s="36"/>
      <c r="E205" s="36" t="s">
        <v>7</v>
      </c>
      <c r="F205" s="36"/>
      <c r="G205" s="36" t="s">
        <v>77</v>
      </c>
      <c r="H205" s="36"/>
      <c r="I205" s="36"/>
      <c r="J205" s="36" t="s">
        <v>58</v>
      </c>
      <c r="K205" s="38">
        <v>3</v>
      </c>
      <c r="L205" s="37"/>
      <c r="M205" s="38">
        <v>0</v>
      </c>
      <c r="N205" s="38">
        <v>0</v>
      </c>
      <c r="O205" s="36"/>
      <c r="P205" s="40">
        <v>43002.04013888</v>
      </c>
      <c r="Q205" s="40">
        <v>43002.16305555</v>
      </c>
      <c r="R205" s="42">
        <v>2.95</v>
      </c>
    </row>
    <row r="206" ht="13.5" customHeight="1" spans="1:18">
      <c r="A206" s="36"/>
      <c r="B206" s="36" t="s">
        <v>32</v>
      </c>
      <c r="C206" s="36"/>
      <c r="D206" s="36"/>
      <c r="E206" s="36" t="s">
        <v>7</v>
      </c>
      <c r="F206" s="36"/>
      <c r="G206" s="36" t="s">
        <v>72</v>
      </c>
      <c r="H206" s="36"/>
      <c r="I206" s="36"/>
      <c r="J206" s="36" t="s">
        <v>58</v>
      </c>
      <c r="K206" s="38">
        <v>3</v>
      </c>
      <c r="L206" s="37"/>
      <c r="M206" s="38">
        <v>0</v>
      </c>
      <c r="N206" s="38">
        <v>0</v>
      </c>
      <c r="O206" s="36"/>
      <c r="P206" s="40">
        <v>43002.04048611</v>
      </c>
      <c r="Q206" s="40">
        <v>43002.28366898</v>
      </c>
      <c r="R206" s="42">
        <v>5.833333333333</v>
      </c>
    </row>
    <row r="207" ht="13.5" customHeight="1" spans="1:18">
      <c r="A207" s="36"/>
      <c r="B207" s="36" t="s">
        <v>32</v>
      </c>
      <c r="C207" s="36"/>
      <c r="D207" s="36"/>
      <c r="E207" s="36" t="s">
        <v>7</v>
      </c>
      <c r="F207" s="36"/>
      <c r="G207" s="36" t="s">
        <v>72</v>
      </c>
      <c r="H207" s="36"/>
      <c r="I207" s="36"/>
      <c r="J207" s="36" t="s">
        <v>58</v>
      </c>
      <c r="K207" s="38">
        <v>3</v>
      </c>
      <c r="L207" s="37"/>
      <c r="M207" s="38">
        <v>0</v>
      </c>
      <c r="N207" s="38">
        <v>0</v>
      </c>
      <c r="O207" s="36"/>
      <c r="P207" s="40">
        <v>43002.06131944</v>
      </c>
      <c r="Q207" s="40">
        <v>43002.28471064</v>
      </c>
      <c r="R207" s="42">
        <v>5.366666666666</v>
      </c>
    </row>
    <row r="208" ht="13.5" customHeight="1" spans="1:18">
      <c r="A208" s="36"/>
      <c r="B208" s="36" t="s">
        <v>29</v>
      </c>
      <c r="C208" s="36"/>
      <c r="D208" s="36"/>
      <c r="E208" s="36" t="s">
        <v>5</v>
      </c>
      <c r="F208" s="36"/>
      <c r="G208" s="36" t="s">
        <v>65</v>
      </c>
      <c r="H208" s="36"/>
      <c r="I208" s="36"/>
      <c r="J208" s="36" t="s">
        <v>58</v>
      </c>
      <c r="K208" s="38">
        <v>3</v>
      </c>
      <c r="L208" s="37"/>
      <c r="M208" s="38">
        <v>0</v>
      </c>
      <c r="N208" s="38">
        <v>0</v>
      </c>
      <c r="O208" s="36"/>
      <c r="P208" s="40">
        <v>43002.08770833</v>
      </c>
      <c r="Q208" s="40">
        <v>43002.16473379</v>
      </c>
      <c r="R208" s="42">
        <v>1.85</v>
      </c>
    </row>
    <row r="209" ht="13.5" customHeight="1" spans="1:18">
      <c r="A209" s="36"/>
      <c r="B209" s="36" t="s">
        <v>29</v>
      </c>
      <c r="C209" s="36"/>
      <c r="D209" s="36"/>
      <c r="E209" s="36" t="s">
        <v>7</v>
      </c>
      <c r="F209" s="36"/>
      <c r="G209" s="36" t="s">
        <v>77</v>
      </c>
      <c r="H209" s="36"/>
      <c r="I209" s="36"/>
      <c r="J209" s="36" t="s">
        <v>58</v>
      </c>
      <c r="K209" s="38">
        <v>3</v>
      </c>
      <c r="L209" s="37"/>
      <c r="M209" s="38">
        <v>0</v>
      </c>
      <c r="N209" s="38">
        <v>0</v>
      </c>
      <c r="O209" s="36"/>
      <c r="P209" s="40">
        <v>43002.13076388</v>
      </c>
      <c r="Q209" s="40">
        <v>43002.16244213</v>
      </c>
      <c r="R209" s="42">
        <v>0.766666666666</v>
      </c>
    </row>
    <row r="210" ht="319.5" customHeight="1" spans="1:18">
      <c r="A210" s="36"/>
      <c r="B210" s="36" t="s">
        <v>29</v>
      </c>
      <c r="C210" s="36"/>
      <c r="D210" s="36"/>
      <c r="E210" s="36" t="s">
        <v>5</v>
      </c>
      <c r="F210" s="36"/>
      <c r="G210" s="36" t="s">
        <v>63</v>
      </c>
      <c r="H210" s="39"/>
      <c r="I210" s="36"/>
      <c r="J210" s="36" t="s">
        <v>58</v>
      </c>
      <c r="K210" s="38">
        <v>3</v>
      </c>
      <c r="L210" s="37"/>
      <c r="M210" s="38">
        <v>0</v>
      </c>
      <c r="N210" s="38">
        <v>0</v>
      </c>
      <c r="O210" s="36"/>
      <c r="P210" s="40">
        <v>43002.14395833</v>
      </c>
      <c r="Q210" s="40">
        <v>43003.13417824</v>
      </c>
      <c r="R210" s="42">
        <v>23.766666666666</v>
      </c>
    </row>
    <row r="211" ht="13.5" customHeight="1" spans="1:18">
      <c r="A211" s="36"/>
      <c r="B211" s="36" t="s">
        <v>29</v>
      </c>
      <c r="C211" s="36"/>
      <c r="D211" s="36"/>
      <c r="E211" s="36" t="s">
        <v>5</v>
      </c>
      <c r="F211" s="36"/>
      <c r="G211" s="36" t="s">
        <v>73</v>
      </c>
      <c r="H211" s="36"/>
      <c r="I211" s="36"/>
      <c r="J211" s="36" t="s">
        <v>58</v>
      </c>
      <c r="K211" s="38">
        <v>3</v>
      </c>
      <c r="L211" s="37"/>
      <c r="M211" s="38">
        <v>0</v>
      </c>
      <c r="N211" s="38">
        <v>0</v>
      </c>
      <c r="O211" s="36"/>
      <c r="P211" s="40">
        <v>43002.17034722</v>
      </c>
      <c r="Q211" s="40">
        <v>43002.46755787</v>
      </c>
      <c r="R211" s="42">
        <v>7.133333333333</v>
      </c>
    </row>
    <row r="212" ht="13.5" customHeight="1" spans="1:18">
      <c r="A212" s="36"/>
      <c r="B212" s="36" t="s">
        <v>29</v>
      </c>
      <c r="C212" s="36"/>
      <c r="D212" s="36"/>
      <c r="E212" s="36" t="s">
        <v>5</v>
      </c>
      <c r="F212" s="36"/>
      <c r="G212" s="36" t="s">
        <v>73</v>
      </c>
      <c r="H212" s="36"/>
      <c r="I212" s="36"/>
      <c r="J212" s="36" t="s">
        <v>58</v>
      </c>
      <c r="K212" s="38">
        <v>3</v>
      </c>
      <c r="L212" s="37"/>
      <c r="M212" s="38">
        <v>0</v>
      </c>
      <c r="N212" s="38">
        <v>0</v>
      </c>
      <c r="O212" s="36"/>
      <c r="P212" s="40">
        <v>43002.40923611</v>
      </c>
      <c r="Q212" s="40">
        <v>43003.03101851</v>
      </c>
      <c r="R212" s="42">
        <v>14.916666666666</v>
      </c>
    </row>
    <row r="213" ht="166.5" customHeight="1" spans="1:18">
      <c r="A213" s="36"/>
      <c r="B213" s="36" t="s">
        <v>29</v>
      </c>
      <c r="C213" s="36"/>
      <c r="D213" s="36"/>
      <c r="E213" s="36" t="s">
        <v>5</v>
      </c>
      <c r="F213" s="36"/>
      <c r="G213" s="36" t="s">
        <v>74</v>
      </c>
      <c r="H213" s="39"/>
      <c r="I213" s="36"/>
      <c r="J213" s="36" t="s">
        <v>58</v>
      </c>
      <c r="K213" s="38">
        <v>3</v>
      </c>
      <c r="L213" s="37"/>
      <c r="M213" s="38">
        <v>0</v>
      </c>
      <c r="N213" s="38">
        <v>0</v>
      </c>
      <c r="O213" s="36"/>
      <c r="P213" s="40">
        <v>43002.42763888</v>
      </c>
      <c r="Q213" s="40">
        <v>43003.13248842</v>
      </c>
      <c r="R213" s="42">
        <v>16.916666666666</v>
      </c>
    </row>
    <row r="214" ht="13.5" customHeight="1" spans="1:18">
      <c r="A214" s="36"/>
      <c r="B214" s="36" t="s">
        <v>29</v>
      </c>
      <c r="C214" s="36"/>
      <c r="D214" s="36"/>
      <c r="E214" s="36" t="s">
        <v>5</v>
      </c>
      <c r="F214" s="36"/>
      <c r="G214" s="36" t="s">
        <v>73</v>
      </c>
      <c r="H214" s="36"/>
      <c r="I214" s="36"/>
      <c r="J214" s="36" t="s">
        <v>58</v>
      </c>
      <c r="K214" s="38">
        <v>3</v>
      </c>
      <c r="L214" s="37"/>
      <c r="M214" s="38">
        <v>0</v>
      </c>
      <c r="N214" s="38">
        <v>0</v>
      </c>
      <c r="O214" s="36"/>
      <c r="P214" s="40">
        <v>43002.84362268</v>
      </c>
      <c r="Q214" s="40">
        <v>43003.03311342</v>
      </c>
      <c r="R214" s="42">
        <v>4.55</v>
      </c>
    </row>
    <row r="215" ht="13.5" customHeight="1" spans="1:18">
      <c r="A215" s="36"/>
      <c r="B215" s="36" t="s">
        <v>29</v>
      </c>
      <c r="C215" s="36"/>
      <c r="D215" s="36"/>
      <c r="E215" s="36" t="s">
        <v>5</v>
      </c>
      <c r="F215" s="36"/>
      <c r="G215" s="36" t="s">
        <v>73</v>
      </c>
      <c r="H215" s="36"/>
      <c r="I215" s="36"/>
      <c r="J215" s="36" t="s">
        <v>58</v>
      </c>
      <c r="K215" s="38">
        <v>3</v>
      </c>
      <c r="L215" s="37"/>
      <c r="M215" s="38">
        <v>0</v>
      </c>
      <c r="N215" s="38">
        <v>0</v>
      </c>
      <c r="O215" s="36"/>
      <c r="P215" s="40">
        <v>43002.88528935</v>
      </c>
      <c r="Q215" s="40">
        <v>43003.02508101</v>
      </c>
      <c r="R215" s="42">
        <v>3.35</v>
      </c>
    </row>
    <row r="216" ht="13.5" customHeight="1" spans="1:18">
      <c r="A216" s="36"/>
      <c r="B216" s="36" t="s">
        <v>32</v>
      </c>
      <c r="C216" s="36"/>
      <c r="D216" s="36"/>
      <c r="E216" s="36" t="s">
        <v>6</v>
      </c>
      <c r="F216" s="36"/>
      <c r="G216" s="36" t="s">
        <v>75</v>
      </c>
      <c r="H216" s="36"/>
      <c r="I216" s="36"/>
      <c r="J216" s="36" t="s">
        <v>58</v>
      </c>
      <c r="K216" s="38">
        <v>3</v>
      </c>
      <c r="L216" s="37"/>
      <c r="M216" s="38">
        <v>0</v>
      </c>
      <c r="N216" s="38">
        <v>0</v>
      </c>
      <c r="O216" s="36"/>
      <c r="P216" s="40">
        <v>43003.06688657</v>
      </c>
      <c r="Q216" s="40">
        <v>43003.33564814</v>
      </c>
      <c r="R216" s="42">
        <v>6.45</v>
      </c>
    </row>
    <row r="217" ht="26.25" customHeight="1" spans="1:18">
      <c r="A217" s="36"/>
      <c r="B217" s="36" t="s">
        <v>29</v>
      </c>
      <c r="C217" s="36"/>
      <c r="D217" s="36"/>
      <c r="E217" s="36" t="s">
        <v>5</v>
      </c>
      <c r="F217" s="36"/>
      <c r="G217" s="36" t="s">
        <v>65</v>
      </c>
      <c r="H217" s="36"/>
      <c r="I217" s="39"/>
      <c r="J217" s="36" t="s">
        <v>58</v>
      </c>
      <c r="K217" s="38">
        <v>3</v>
      </c>
      <c r="L217" s="37"/>
      <c r="M217" s="38">
        <v>0</v>
      </c>
      <c r="N217" s="38">
        <v>0</v>
      </c>
      <c r="O217" s="36"/>
      <c r="P217" s="40">
        <v>43003.08841435</v>
      </c>
      <c r="Q217" s="40">
        <v>43003.12101851</v>
      </c>
      <c r="R217" s="42">
        <v>0.783333333333</v>
      </c>
    </row>
    <row r="218" ht="13.5" customHeight="1" spans="1:18">
      <c r="A218" s="36"/>
      <c r="B218" s="36" t="s">
        <v>29</v>
      </c>
      <c r="C218" s="36"/>
      <c r="D218" s="36"/>
      <c r="E218" s="36" t="s">
        <v>5</v>
      </c>
      <c r="F218" s="36"/>
      <c r="G218" s="36" t="s">
        <v>60</v>
      </c>
      <c r="H218" s="36"/>
      <c r="I218" s="36"/>
      <c r="J218" s="36" t="s">
        <v>58</v>
      </c>
      <c r="K218" s="38">
        <v>3</v>
      </c>
      <c r="L218" s="37"/>
      <c r="M218" s="38">
        <v>0</v>
      </c>
      <c r="N218" s="38">
        <v>0</v>
      </c>
      <c r="O218" s="36"/>
      <c r="P218" s="40">
        <v>43003.17313657</v>
      </c>
      <c r="Q218" s="40">
        <v>43003.22540509</v>
      </c>
      <c r="R218" s="42">
        <v>1.25</v>
      </c>
    </row>
    <row r="219" ht="128.25" customHeight="1" spans="1:18">
      <c r="A219" s="36"/>
      <c r="B219" s="36" t="s">
        <v>29</v>
      </c>
      <c r="C219" s="36"/>
      <c r="D219" s="36"/>
      <c r="E219" s="36" t="s">
        <v>8</v>
      </c>
      <c r="F219" s="36"/>
      <c r="G219" s="36" t="s">
        <v>78</v>
      </c>
      <c r="H219" s="36"/>
      <c r="I219" s="39"/>
      <c r="J219" s="36" t="s">
        <v>58</v>
      </c>
      <c r="K219" s="38">
        <v>3</v>
      </c>
      <c r="L219" s="37"/>
      <c r="M219" s="38">
        <v>0</v>
      </c>
      <c r="N219" s="38">
        <v>0</v>
      </c>
      <c r="O219" s="36"/>
      <c r="P219" s="40">
        <v>43003.43793981</v>
      </c>
      <c r="Q219" s="40">
        <v>43003.49025463</v>
      </c>
      <c r="R219" s="42">
        <v>1.483333333333</v>
      </c>
    </row>
    <row r="220" ht="13.5" customHeight="1" spans="1:18">
      <c r="A220" s="36"/>
      <c r="B220" s="36" t="s">
        <v>29</v>
      </c>
      <c r="C220" s="36"/>
      <c r="D220" s="36"/>
      <c r="E220" s="36" t="s">
        <v>5</v>
      </c>
      <c r="F220" s="36"/>
      <c r="G220" s="36" t="s">
        <v>73</v>
      </c>
      <c r="H220" s="36"/>
      <c r="I220" s="36"/>
      <c r="J220" s="36" t="s">
        <v>58</v>
      </c>
      <c r="K220" s="38">
        <v>3</v>
      </c>
      <c r="L220" s="37"/>
      <c r="M220" s="38">
        <v>0</v>
      </c>
      <c r="N220" s="38">
        <v>0</v>
      </c>
      <c r="O220" s="36"/>
      <c r="P220" s="40">
        <v>43003.80196759</v>
      </c>
      <c r="Q220" s="40">
        <v>43004.12194444</v>
      </c>
      <c r="R220" s="42">
        <v>7.683333333333</v>
      </c>
    </row>
    <row r="221" ht="26.25" customHeight="1" spans="1:18">
      <c r="A221" s="36"/>
      <c r="B221" s="36" t="s">
        <v>29</v>
      </c>
      <c r="C221" s="36"/>
      <c r="D221" s="36"/>
      <c r="E221" s="36" t="s">
        <v>5</v>
      </c>
      <c r="F221" s="36"/>
      <c r="G221" s="36" t="s">
        <v>65</v>
      </c>
      <c r="H221" s="36"/>
      <c r="I221" s="39"/>
      <c r="J221" s="36" t="s">
        <v>58</v>
      </c>
      <c r="K221" s="38">
        <v>3</v>
      </c>
      <c r="L221" s="37"/>
      <c r="M221" s="38">
        <v>0</v>
      </c>
      <c r="N221" s="38">
        <v>0</v>
      </c>
      <c r="O221" s="36"/>
      <c r="P221" s="40">
        <v>43004.08773148</v>
      </c>
      <c r="Q221" s="40">
        <v>43004.20767361</v>
      </c>
      <c r="R221" s="42">
        <v>2.883333333333</v>
      </c>
    </row>
    <row r="222" ht="13.5" customHeight="1" spans="1:18">
      <c r="A222" s="36"/>
      <c r="B222" s="36" t="s">
        <v>29</v>
      </c>
      <c r="C222" s="36"/>
      <c r="D222" s="36"/>
      <c r="E222" s="36" t="s">
        <v>5</v>
      </c>
      <c r="F222" s="36"/>
      <c r="G222" s="36" t="s">
        <v>73</v>
      </c>
      <c r="H222" s="36"/>
      <c r="I222" s="36"/>
      <c r="J222" s="36" t="s">
        <v>58</v>
      </c>
      <c r="K222" s="38">
        <v>3</v>
      </c>
      <c r="L222" s="37"/>
      <c r="M222" s="38">
        <v>0</v>
      </c>
      <c r="N222" s="38">
        <v>0</v>
      </c>
      <c r="O222" s="36"/>
      <c r="P222" s="40">
        <v>43004.17314814</v>
      </c>
      <c r="Q222" s="40">
        <v>43004.29408564</v>
      </c>
      <c r="R222" s="42">
        <v>2.9</v>
      </c>
    </row>
    <row r="223" ht="13.5" customHeight="1" spans="1:18">
      <c r="A223" s="36"/>
      <c r="B223" s="36" t="s">
        <v>29</v>
      </c>
      <c r="C223" s="36"/>
      <c r="D223" s="36"/>
      <c r="E223" s="36" t="s">
        <v>5</v>
      </c>
      <c r="F223" s="36"/>
      <c r="G223" s="36" t="s">
        <v>73</v>
      </c>
      <c r="H223" s="36"/>
      <c r="I223" s="36"/>
      <c r="J223" s="36" t="s">
        <v>58</v>
      </c>
      <c r="K223" s="38">
        <v>3</v>
      </c>
      <c r="L223" s="37"/>
      <c r="M223" s="38">
        <v>0</v>
      </c>
      <c r="N223" s="38">
        <v>0</v>
      </c>
      <c r="O223" s="36"/>
      <c r="P223" s="40">
        <v>43004.18217592</v>
      </c>
      <c r="Q223" s="40">
        <v>43004.2068287</v>
      </c>
      <c r="R223" s="42">
        <v>0.6</v>
      </c>
    </row>
    <row r="224" ht="13.5" customHeight="1" spans="1:18">
      <c r="A224" s="36"/>
      <c r="B224" s="36" t="s">
        <v>29</v>
      </c>
      <c r="C224" s="36"/>
      <c r="D224" s="36"/>
      <c r="E224" s="36" t="s">
        <v>5</v>
      </c>
      <c r="F224" s="36"/>
      <c r="G224" s="36" t="s">
        <v>73</v>
      </c>
      <c r="H224" s="36"/>
      <c r="I224" s="36"/>
      <c r="J224" s="36" t="s">
        <v>58</v>
      </c>
      <c r="K224" s="38">
        <v>3</v>
      </c>
      <c r="L224" s="37"/>
      <c r="M224" s="38">
        <v>0</v>
      </c>
      <c r="N224" s="38">
        <v>0</v>
      </c>
      <c r="O224" s="36"/>
      <c r="P224" s="40">
        <v>43004.21585648</v>
      </c>
      <c r="Q224" s="40">
        <v>43004.33165509</v>
      </c>
      <c r="R224" s="42">
        <v>2.783333333333</v>
      </c>
    </row>
    <row r="225" ht="64.5" customHeight="1" spans="1:18">
      <c r="A225" s="36"/>
      <c r="B225" s="36" t="s">
        <v>29</v>
      </c>
      <c r="C225" s="36"/>
      <c r="D225" s="36"/>
      <c r="E225" s="36" t="s">
        <v>7</v>
      </c>
      <c r="F225" s="36"/>
      <c r="G225" s="36" t="s">
        <v>60</v>
      </c>
      <c r="H225" s="36"/>
      <c r="I225" s="39"/>
      <c r="J225" s="36" t="s">
        <v>58</v>
      </c>
      <c r="K225" s="38">
        <v>4</v>
      </c>
      <c r="L225" s="37"/>
      <c r="M225" s="38">
        <v>0</v>
      </c>
      <c r="N225" s="38">
        <v>0</v>
      </c>
      <c r="O225" s="36"/>
      <c r="P225" s="40">
        <v>43004.39719907</v>
      </c>
      <c r="Q225" s="40">
        <v>43006.37226851</v>
      </c>
      <c r="R225" s="42">
        <v>47.416666666666</v>
      </c>
    </row>
    <row r="226" ht="13.5" customHeight="1" spans="1:18">
      <c r="A226" s="36"/>
      <c r="B226" s="36" t="s">
        <v>32</v>
      </c>
      <c r="C226" s="36"/>
      <c r="D226" s="36"/>
      <c r="E226" s="36" t="s">
        <v>6</v>
      </c>
      <c r="F226" s="36"/>
      <c r="G226" s="36" t="s">
        <v>63</v>
      </c>
      <c r="H226" s="36"/>
      <c r="I226" s="36"/>
      <c r="J226" s="36" t="s">
        <v>58</v>
      </c>
      <c r="K226" s="38">
        <v>4</v>
      </c>
      <c r="L226" s="37"/>
      <c r="M226" s="38">
        <v>0</v>
      </c>
      <c r="N226" s="38">
        <v>0</v>
      </c>
      <c r="O226" s="36"/>
      <c r="P226" s="40">
        <v>43004.43234953</v>
      </c>
      <c r="Q226" s="40">
        <v>43006.4571875</v>
      </c>
      <c r="R226" s="42">
        <v>48.816666666666</v>
      </c>
    </row>
    <row r="227" ht="13.5" customHeight="1" spans="1:18">
      <c r="A227" s="36"/>
      <c r="B227" s="36" t="s">
        <v>32</v>
      </c>
      <c r="C227" s="36"/>
      <c r="D227" s="36"/>
      <c r="E227" s="36" t="s">
        <v>5</v>
      </c>
      <c r="F227" s="36"/>
      <c r="G227" s="36" t="s">
        <v>64</v>
      </c>
      <c r="H227" s="36"/>
      <c r="I227" s="36"/>
      <c r="J227" s="36" t="s">
        <v>58</v>
      </c>
      <c r="K227" s="38">
        <v>3</v>
      </c>
      <c r="L227" s="37"/>
      <c r="M227" s="38">
        <v>0</v>
      </c>
      <c r="N227" s="38">
        <v>0</v>
      </c>
      <c r="O227" s="36"/>
      <c r="P227" s="40">
        <v>43004.56924768</v>
      </c>
      <c r="Q227" s="40">
        <v>43004.70548611</v>
      </c>
      <c r="R227" s="42">
        <v>3.3</v>
      </c>
    </row>
    <row r="228" ht="13.5" customHeight="1" spans="1:18">
      <c r="A228" s="36"/>
      <c r="B228" s="36" t="s">
        <v>29</v>
      </c>
      <c r="C228" s="36"/>
      <c r="D228" s="36"/>
      <c r="E228" s="36" t="s">
        <v>5</v>
      </c>
      <c r="F228" s="36"/>
      <c r="G228" s="36" t="s">
        <v>73</v>
      </c>
      <c r="H228" s="36"/>
      <c r="I228" s="36"/>
      <c r="J228" s="36" t="s">
        <v>58</v>
      </c>
      <c r="K228" s="38">
        <v>3</v>
      </c>
      <c r="L228" s="37"/>
      <c r="M228" s="38">
        <v>0</v>
      </c>
      <c r="N228" s="38">
        <v>0</v>
      </c>
      <c r="O228" s="36"/>
      <c r="P228" s="40">
        <v>43004.79328703</v>
      </c>
      <c r="Q228" s="40">
        <v>43004.99752314</v>
      </c>
      <c r="R228" s="42">
        <v>4.9</v>
      </c>
    </row>
    <row r="229" ht="13.5" customHeight="1" spans="1:18">
      <c r="A229" s="36"/>
      <c r="B229" s="36" t="s">
        <v>29</v>
      </c>
      <c r="C229" s="36"/>
      <c r="D229" s="36"/>
      <c r="E229" s="36" t="s">
        <v>5</v>
      </c>
      <c r="F229" s="36"/>
      <c r="G229" s="36" t="s">
        <v>73</v>
      </c>
      <c r="H229" s="36"/>
      <c r="I229" s="36"/>
      <c r="J229" s="36" t="s">
        <v>58</v>
      </c>
      <c r="K229" s="38">
        <v>3</v>
      </c>
      <c r="L229" s="37"/>
      <c r="M229" s="38">
        <v>0</v>
      </c>
      <c r="N229" s="38">
        <v>0</v>
      </c>
      <c r="O229" s="36"/>
      <c r="P229" s="40">
        <v>43004.80717592</v>
      </c>
      <c r="Q229" s="40">
        <v>43005.21106481</v>
      </c>
      <c r="R229" s="42">
        <v>9.7</v>
      </c>
    </row>
    <row r="230" ht="13.5" customHeight="1" spans="1:18">
      <c r="A230" s="36"/>
      <c r="B230" s="36" t="s">
        <v>29</v>
      </c>
      <c r="C230" s="36"/>
      <c r="D230" s="36"/>
      <c r="E230" s="36" t="s">
        <v>5</v>
      </c>
      <c r="F230" s="36"/>
      <c r="G230" s="36" t="s">
        <v>73</v>
      </c>
      <c r="H230" s="36"/>
      <c r="I230" s="36"/>
      <c r="J230" s="36" t="s">
        <v>58</v>
      </c>
      <c r="K230" s="38">
        <v>3</v>
      </c>
      <c r="L230" s="37"/>
      <c r="M230" s="38">
        <v>0</v>
      </c>
      <c r="N230" s="38">
        <v>0</v>
      </c>
      <c r="O230" s="36"/>
      <c r="P230" s="40">
        <v>43004.84189814</v>
      </c>
      <c r="Q230" s="40">
        <v>43004.99475694</v>
      </c>
      <c r="R230" s="42">
        <v>3.666666666666</v>
      </c>
    </row>
    <row r="231" ht="13.5" customHeight="1" spans="1:18">
      <c r="A231" s="36"/>
      <c r="B231" s="36" t="s">
        <v>29</v>
      </c>
      <c r="C231" s="36"/>
      <c r="D231" s="36"/>
      <c r="E231" s="36" t="s">
        <v>5</v>
      </c>
      <c r="F231" s="36"/>
      <c r="G231" s="36" t="s">
        <v>73</v>
      </c>
      <c r="H231" s="36"/>
      <c r="I231" s="36"/>
      <c r="J231" s="36" t="s">
        <v>58</v>
      </c>
      <c r="K231" s="38">
        <v>3</v>
      </c>
      <c r="L231" s="37"/>
      <c r="M231" s="38">
        <v>0</v>
      </c>
      <c r="N231" s="38">
        <v>0</v>
      </c>
      <c r="O231" s="36"/>
      <c r="P231" s="40">
        <v>43004.8505787</v>
      </c>
      <c r="Q231" s="40">
        <v>43004.99233796</v>
      </c>
      <c r="R231" s="42">
        <v>3.4</v>
      </c>
    </row>
    <row r="232" ht="13.5" customHeight="1" spans="1:18">
      <c r="A232" s="36"/>
      <c r="B232" s="36" t="s">
        <v>29</v>
      </c>
      <c r="C232" s="36"/>
      <c r="D232" s="36"/>
      <c r="E232" s="36" t="s">
        <v>5</v>
      </c>
      <c r="F232" s="36"/>
      <c r="G232" s="36" t="s">
        <v>59</v>
      </c>
      <c r="H232" s="36"/>
      <c r="I232" s="36"/>
      <c r="J232" s="36" t="s">
        <v>58</v>
      </c>
      <c r="K232" s="38">
        <v>3</v>
      </c>
      <c r="L232" s="37"/>
      <c r="M232" s="38">
        <v>0</v>
      </c>
      <c r="N232" s="38">
        <v>0</v>
      </c>
      <c r="O232" s="36"/>
      <c r="P232" s="40">
        <v>43004.88530092</v>
      </c>
      <c r="Q232" s="40">
        <v>43005.06072916</v>
      </c>
      <c r="R232" s="42">
        <v>4.216666666666</v>
      </c>
    </row>
    <row r="233" ht="13.5" customHeight="1" spans="1:18">
      <c r="A233" s="36"/>
      <c r="B233" s="36" t="s">
        <v>29</v>
      </c>
      <c r="C233" s="36"/>
      <c r="D233" s="36"/>
      <c r="E233" s="36" t="s">
        <v>5</v>
      </c>
      <c r="F233" s="36"/>
      <c r="G233" s="36" t="s">
        <v>65</v>
      </c>
      <c r="H233" s="36"/>
      <c r="I233" s="36"/>
      <c r="J233" s="36" t="s">
        <v>58</v>
      </c>
      <c r="K233" s="38">
        <v>3</v>
      </c>
      <c r="L233" s="37"/>
      <c r="M233" s="38">
        <v>0</v>
      </c>
      <c r="N233" s="38">
        <v>0</v>
      </c>
      <c r="O233" s="36"/>
      <c r="P233" s="40">
        <v>43005.08773148</v>
      </c>
      <c r="Q233" s="40">
        <v>43005.2205324</v>
      </c>
      <c r="R233" s="42">
        <v>3.183333333333</v>
      </c>
    </row>
    <row r="234" ht="13.5" customHeight="1" spans="1:18">
      <c r="A234" s="36"/>
      <c r="B234" s="36" t="s">
        <v>29</v>
      </c>
      <c r="C234" s="36"/>
      <c r="D234" s="36"/>
      <c r="E234" s="36" t="s">
        <v>5</v>
      </c>
      <c r="F234" s="36"/>
      <c r="G234" s="36" t="s">
        <v>60</v>
      </c>
      <c r="H234" s="36"/>
      <c r="I234" s="36"/>
      <c r="J234" s="36" t="s">
        <v>58</v>
      </c>
      <c r="K234" s="38">
        <v>3</v>
      </c>
      <c r="L234" s="37"/>
      <c r="M234" s="38">
        <v>0</v>
      </c>
      <c r="N234" s="38">
        <v>0</v>
      </c>
      <c r="O234" s="36"/>
      <c r="P234" s="40">
        <v>43005.18113425</v>
      </c>
      <c r="Q234" s="40">
        <v>43005.28675925</v>
      </c>
      <c r="R234" s="42">
        <v>2.533333333333</v>
      </c>
    </row>
    <row r="235" ht="13.5" customHeight="1" spans="1:18">
      <c r="A235" s="36"/>
      <c r="B235" s="36" t="s">
        <v>29</v>
      </c>
      <c r="C235" s="36"/>
      <c r="D235" s="36"/>
      <c r="E235" s="36" t="s">
        <v>5</v>
      </c>
      <c r="F235" s="36"/>
      <c r="G235" s="36" t="s">
        <v>73</v>
      </c>
      <c r="H235" s="36"/>
      <c r="I235" s="36"/>
      <c r="J235" s="36" t="s">
        <v>58</v>
      </c>
      <c r="K235" s="38">
        <v>3</v>
      </c>
      <c r="L235" s="37"/>
      <c r="M235" s="38">
        <v>0</v>
      </c>
      <c r="N235" s="38">
        <v>0</v>
      </c>
      <c r="O235" s="36"/>
      <c r="P235" s="40">
        <v>43005.18217592</v>
      </c>
      <c r="Q235" s="40">
        <v>43005.20942129</v>
      </c>
      <c r="R235" s="42">
        <v>0.65</v>
      </c>
    </row>
    <row r="236" ht="13.5" customHeight="1" spans="1:18">
      <c r="A236" s="36"/>
      <c r="B236" s="36" t="s">
        <v>32</v>
      </c>
      <c r="C236" s="36"/>
      <c r="D236" s="36"/>
      <c r="E236" s="36" t="s">
        <v>6</v>
      </c>
      <c r="F236" s="36"/>
      <c r="G236" s="36" t="s">
        <v>76</v>
      </c>
      <c r="H236" s="36"/>
      <c r="I236" s="36"/>
      <c r="J236" s="36" t="s">
        <v>58</v>
      </c>
      <c r="K236" s="38">
        <v>3</v>
      </c>
      <c r="L236" s="37"/>
      <c r="M236" s="38">
        <v>0</v>
      </c>
      <c r="N236" s="38">
        <v>1</v>
      </c>
      <c r="O236" s="36"/>
      <c r="P236" s="40">
        <v>43005.25164351</v>
      </c>
      <c r="Q236" s="40">
        <v>43005.38006944</v>
      </c>
      <c r="R236" s="42">
        <v>3.083333333333</v>
      </c>
    </row>
    <row r="237" ht="13.5" customHeight="1" spans="1:18">
      <c r="A237" s="36"/>
      <c r="B237" s="36" t="s">
        <v>32</v>
      </c>
      <c r="C237" s="36"/>
      <c r="D237" s="36"/>
      <c r="E237" s="36" t="s">
        <v>6</v>
      </c>
      <c r="F237" s="36"/>
      <c r="G237" s="36" t="s">
        <v>62</v>
      </c>
      <c r="H237" s="36"/>
      <c r="I237" s="36"/>
      <c r="J237" s="36" t="s">
        <v>58</v>
      </c>
      <c r="K237" s="38">
        <v>3</v>
      </c>
      <c r="L237" s="37"/>
      <c r="M237" s="38">
        <v>0</v>
      </c>
      <c r="N237" s="38">
        <v>0</v>
      </c>
      <c r="O237" s="36"/>
      <c r="P237" s="40">
        <v>43005.29885416</v>
      </c>
      <c r="Q237" s="40">
        <v>43005.85077546</v>
      </c>
      <c r="R237" s="42">
        <v>13.25</v>
      </c>
    </row>
    <row r="238" ht="13.5" customHeight="1" spans="1:18">
      <c r="A238" s="36"/>
      <c r="B238" s="36" t="s">
        <v>32</v>
      </c>
      <c r="C238" s="36"/>
      <c r="D238" s="36"/>
      <c r="E238" s="36" t="s">
        <v>5</v>
      </c>
      <c r="F238" s="36"/>
      <c r="G238" s="36" t="s">
        <v>57</v>
      </c>
      <c r="H238" s="36"/>
      <c r="I238" s="36"/>
      <c r="J238" s="36" t="s">
        <v>58</v>
      </c>
      <c r="K238" s="38">
        <v>3</v>
      </c>
      <c r="L238" s="37"/>
      <c r="M238" s="38">
        <v>0</v>
      </c>
      <c r="N238" s="38">
        <v>0</v>
      </c>
      <c r="O238" s="36"/>
      <c r="P238" s="40">
        <v>43005.31273148</v>
      </c>
      <c r="Q238" s="40">
        <v>43005.34394675</v>
      </c>
      <c r="R238" s="42">
        <v>0.75</v>
      </c>
    </row>
    <row r="239" ht="13.5" customHeight="1" spans="1:18">
      <c r="A239" s="36"/>
      <c r="B239" s="36" t="s">
        <v>32</v>
      </c>
      <c r="C239" s="36"/>
      <c r="D239" s="36"/>
      <c r="E239" s="36" t="s">
        <v>5</v>
      </c>
      <c r="F239" s="36"/>
      <c r="G239" s="36" t="s">
        <v>57</v>
      </c>
      <c r="H239" s="36"/>
      <c r="I239" s="36"/>
      <c r="J239" s="36" t="s">
        <v>58</v>
      </c>
      <c r="K239" s="38">
        <v>3</v>
      </c>
      <c r="L239" s="37"/>
      <c r="M239" s="38">
        <v>0</v>
      </c>
      <c r="N239" s="38">
        <v>0</v>
      </c>
      <c r="O239" s="36"/>
      <c r="P239" s="40">
        <v>43005.31273148</v>
      </c>
      <c r="Q239" s="40">
        <v>43005.34297453</v>
      </c>
      <c r="R239" s="42">
        <v>0.733333333333</v>
      </c>
    </row>
    <row r="240" ht="141" customHeight="1" spans="1:18">
      <c r="A240" s="36"/>
      <c r="B240" s="36" t="s">
        <v>32</v>
      </c>
      <c r="C240" s="36"/>
      <c r="D240" s="36"/>
      <c r="E240" s="36" t="s">
        <v>6</v>
      </c>
      <c r="F240" s="36"/>
      <c r="G240" s="36" t="s">
        <v>66</v>
      </c>
      <c r="H240" s="36"/>
      <c r="I240" s="39"/>
      <c r="J240" s="36" t="s">
        <v>58</v>
      </c>
      <c r="K240" s="38">
        <v>3</v>
      </c>
      <c r="L240" s="37"/>
      <c r="M240" s="38">
        <v>0</v>
      </c>
      <c r="N240" s="38">
        <v>0</v>
      </c>
      <c r="O240" s="36"/>
      <c r="P240" s="40">
        <v>43005.38708333</v>
      </c>
      <c r="Q240" s="40">
        <v>43005.55381944</v>
      </c>
      <c r="R240" s="42">
        <v>4.316666666666</v>
      </c>
    </row>
    <row r="241" ht="13.5" customHeight="1" spans="1:18">
      <c r="A241" s="36"/>
      <c r="B241" s="36" t="s">
        <v>29</v>
      </c>
      <c r="C241" s="36"/>
      <c r="D241" s="36"/>
      <c r="E241" s="36" t="s">
        <v>5</v>
      </c>
      <c r="F241" s="36"/>
      <c r="G241" s="36" t="s">
        <v>60</v>
      </c>
      <c r="H241" s="36"/>
      <c r="I241" s="36"/>
      <c r="J241" s="36" t="s">
        <v>58</v>
      </c>
      <c r="K241" s="38">
        <v>2</v>
      </c>
      <c r="L241" s="37"/>
      <c r="M241" s="38">
        <v>0</v>
      </c>
      <c r="N241" s="38">
        <v>0</v>
      </c>
      <c r="O241" s="36"/>
      <c r="P241" s="40">
        <v>43005.40291666</v>
      </c>
      <c r="Q241" s="40">
        <v>43005.58211805</v>
      </c>
      <c r="R241" s="42">
        <v>4.366666666666</v>
      </c>
    </row>
    <row r="242" ht="13.5" customHeight="1" spans="1:18">
      <c r="A242" s="36"/>
      <c r="B242" s="36" t="s">
        <v>29</v>
      </c>
      <c r="C242" s="36"/>
      <c r="D242" s="36"/>
      <c r="E242" s="36" t="s">
        <v>5</v>
      </c>
      <c r="F242" s="36"/>
      <c r="G242" s="36" t="s">
        <v>73</v>
      </c>
      <c r="H242" s="36"/>
      <c r="I242" s="36"/>
      <c r="J242" s="36" t="s">
        <v>58</v>
      </c>
      <c r="K242" s="38">
        <v>3</v>
      </c>
      <c r="L242" s="37"/>
      <c r="M242" s="38">
        <v>0</v>
      </c>
      <c r="N242" s="38">
        <v>0</v>
      </c>
      <c r="O242" s="36"/>
      <c r="P242" s="40">
        <v>43005.49467592</v>
      </c>
      <c r="Q242" s="40">
        <v>43005.62127314</v>
      </c>
      <c r="R242" s="42">
        <v>3.033333333333</v>
      </c>
    </row>
    <row r="243" ht="13.5" customHeight="1" spans="1:18">
      <c r="A243" s="36"/>
      <c r="B243" s="36" t="s">
        <v>29</v>
      </c>
      <c r="C243" s="36"/>
      <c r="D243" s="36"/>
      <c r="E243" s="36" t="s">
        <v>9</v>
      </c>
      <c r="F243" s="36"/>
      <c r="G243" s="36" t="s">
        <v>73</v>
      </c>
      <c r="H243" s="36"/>
      <c r="I243" s="36"/>
      <c r="J243" s="36" t="s">
        <v>58</v>
      </c>
      <c r="K243" s="38">
        <v>3</v>
      </c>
      <c r="L243" s="37"/>
      <c r="M243" s="38">
        <v>0</v>
      </c>
      <c r="N243" s="38">
        <v>0</v>
      </c>
      <c r="O243" s="36"/>
      <c r="P243" s="40">
        <v>43005.55024305</v>
      </c>
      <c r="Q243" s="40">
        <v>43005.66190972</v>
      </c>
      <c r="R243" s="42">
        <v>2.683333333333</v>
      </c>
    </row>
    <row r="244" ht="39" customHeight="1" spans="1:18">
      <c r="A244" s="36"/>
      <c r="B244" s="36" t="s">
        <v>32</v>
      </c>
      <c r="C244" s="36"/>
      <c r="D244" s="36"/>
      <c r="E244" s="36" t="s">
        <v>5</v>
      </c>
      <c r="F244" s="36"/>
      <c r="G244" s="36" t="s">
        <v>68</v>
      </c>
      <c r="H244" s="39"/>
      <c r="I244" s="36"/>
      <c r="J244" s="36" t="s">
        <v>58</v>
      </c>
      <c r="K244" s="38">
        <v>3</v>
      </c>
      <c r="L244" s="37"/>
      <c r="M244" s="38">
        <v>0</v>
      </c>
      <c r="N244" s="38">
        <v>0</v>
      </c>
      <c r="O244" s="36"/>
      <c r="P244" s="40">
        <v>43005.57038194</v>
      </c>
      <c r="Q244" s="40">
        <v>43006.07998842</v>
      </c>
      <c r="R244" s="42">
        <v>12.233333333333</v>
      </c>
    </row>
    <row r="245" ht="13.5" customHeight="1" spans="1:18">
      <c r="A245" s="36"/>
      <c r="B245" s="36" t="s">
        <v>32</v>
      </c>
      <c r="C245" s="36"/>
      <c r="D245" s="36"/>
      <c r="E245" s="36" t="s">
        <v>6</v>
      </c>
      <c r="F245" s="36"/>
      <c r="G245" s="36" t="s">
        <v>79</v>
      </c>
      <c r="H245" s="36"/>
      <c r="I245" s="36"/>
      <c r="J245" s="36" t="s">
        <v>58</v>
      </c>
      <c r="K245" s="38">
        <v>3</v>
      </c>
      <c r="L245" s="37"/>
      <c r="M245" s="38">
        <v>0</v>
      </c>
      <c r="N245" s="38">
        <v>0</v>
      </c>
      <c r="O245" s="36"/>
      <c r="P245" s="40">
        <v>43005.66752314</v>
      </c>
      <c r="Q245" s="40">
        <v>43006.39571759</v>
      </c>
      <c r="R245" s="42">
        <v>17.966666666666</v>
      </c>
    </row>
    <row r="246" ht="13.5" customHeight="1" spans="1:18">
      <c r="A246" s="36"/>
      <c r="B246" s="36" t="s">
        <v>29</v>
      </c>
      <c r="C246" s="36"/>
      <c r="D246" s="36"/>
      <c r="E246" s="36" t="s">
        <v>9</v>
      </c>
      <c r="F246" s="36"/>
      <c r="G246" s="36" t="s">
        <v>80</v>
      </c>
      <c r="H246" s="36"/>
      <c r="I246" s="36"/>
      <c r="J246" s="36" t="s">
        <v>58</v>
      </c>
      <c r="K246" s="38">
        <v>3</v>
      </c>
      <c r="L246" s="37"/>
      <c r="M246" s="38">
        <v>0</v>
      </c>
      <c r="N246" s="38">
        <v>0</v>
      </c>
      <c r="O246" s="36"/>
      <c r="P246" s="40">
        <v>43005.70684027</v>
      </c>
      <c r="Q246" s="40">
        <v>43006.10819444</v>
      </c>
      <c r="R246" s="42">
        <v>9.633333333333</v>
      </c>
    </row>
    <row r="247" ht="13.5" customHeight="1" spans="1:18">
      <c r="A247" s="36"/>
      <c r="B247" s="36" t="s">
        <v>29</v>
      </c>
      <c r="C247" s="36"/>
      <c r="D247" s="36"/>
      <c r="E247" s="36" t="s">
        <v>5</v>
      </c>
      <c r="F247" s="36"/>
      <c r="G247" s="36" t="s">
        <v>64</v>
      </c>
      <c r="H247" s="36"/>
      <c r="I247" s="36"/>
      <c r="J247" s="36" t="s">
        <v>58</v>
      </c>
      <c r="K247" s="38">
        <v>3</v>
      </c>
      <c r="L247" s="37"/>
      <c r="M247" s="38">
        <v>0</v>
      </c>
      <c r="N247" s="38">
        <v>0</v>
      </c>
      <c r="O247" s="36"/>
      <c r="P247" s="40">
        <v>43005.7071875</v>
      </c>
      <c r="Q247" s="40">
        <v>43006.0567824</v>
      </c>
      <c r="R247" s="42">
        <v>8.383333333333</v>
      </c>
    </row>
    <row r="248" ht="13.5" customHeight="1" spans="1:18">
      <c r="A248" s="36"/>
      <c r="B248" s="36" t="s">
        <v>29</v>
      </c>
      <c r="C248" s="36"/>
      <c r="D248" s="36"/>
      <c r="E248" s="36" t="s">
        <v>5</v>
      </c>
      <c r="F248" s="36"/>
      <c r="G248" s="36" t="s">
        <v>73</v>
      </c>
      <c r="H248" s="36"/>
      <c r="I248" s="36"/>
      <c r="J248" s="36" t="s">
        <v>58</v>
      </c>
      <c r="K248" s="38">
        <v>3</v>
      </c>
      <c r="L248" s="37"/>
      <c r="M248" s="38">
        <v>0</v>
      </c>
      <c r="N248" s="38">
        <v>0</v>
      </c>
      <c r="O248" s="36"/>
      <c r="P248" s="40">
        <v>43005.80024305</v>
      </c>
      <c r="Q248" s="40">
        <v>43005.84644675</v>
      </c>
      <c r="R248" s="42">
        <v>1.116666666666</v>
      </c>
    </row>
    <row r="249" ht="13.5" customHeight="1" spans="1:18">
      <c r="A249" s="36"/>
      <c r="B249" s="36" t="s">
        <v>29</v>
      </c>
      <c r="C249" s="36"/>
      <c r="D249" s="36"/>
      <c r="E249" s="36" t="s">
        <v>5</v>
      </c>
      <c r="F249" s="36"/>
      <c r="G249" s="36" t="s">
        <v>73</v>
      </c>
      <c r="H249" s="36"/>
      <c r="I249" s="36"/>
      <c r="J249" s="36" t="s">
        <v>58</v>
      </c>
      <c r="K249" s="38">
        <v>3</v>
      </c>
      <c r="L249" s="37"/>
      <c r="M249" s="38">
        <v>0</v>
      </c>
      <c r="N249" s="38">
        <v>0</v>
      </c>
      <c r="O249" s="36"/>
      <c r="P249" s="40">
        <v>43005.80614583</v>
      </c>
      <c r="Q249" s="40">
        <v>43005.85753472</v>
      </c>
      <c r="R249" s="42">
        <v>1.233333333333</v>
      </c>
    </row>
    <row r="250" ht="13.5" customHeight="1" spans="1:18">
      <c r="A250" s="36"/>
      <c r="B250" s="36" t="s">
        <v>29</v>
      </c>
      <c r="C250" s="36"/>
      <c r="D250" s="36"/>
      <c r="E250" s="36" t="s">
        <v>5</v>
      </c>
      <c r="F250" s="36"/>
      <c r="G250" s="36" t="s">
        <v>73</v>
      </c>
      <c r="H250" s="36"/>
      <c r="I250" s="36"/>
      <c r="J250" s="36" t="s">
        <v>58</v>
      </c>
      <c r="K250" s="38">
        <v>3</v>
      </c>
      <c r="L250" s="37"/>
      <c r="M250" s="38">
        <v>0</v>
      </c>
      <c r="N250" s="38">
        <v>0</v>
      </c>
      <c r="O250" s="36"/>
      <c r="P250" s="40">
        <v>43005.8071875</v>
      </c>
      <c r="Q250" s="40">
        <v>43006.00524305</v>
      </c>
      <c r="R250" s="42">
        <v>4.75</v>
      </c>
    </row>
    <row r="251" ht="13.5" customHeight="1" spans="1:18">
      <c r="A251" s="36"/>
      <c r="B251" s="36" t="s">
        <v>32</v>
      </c>
      <c r="C251" s="36"/>
      <c r="D251" s="36"/>
      <c r="E251" s="36" t="s">
        <v>7</v>
      </c>
      <c r="F251" s="36"/>
      <c r="G251" s="36" t="s">
        <v>73</v>
      </c>
      <c r="H251" s="36"/>
      <c r="I251" s="36"/>
      <c r="J251" s="36" t="s">
        <v>58</v>
      </c>
      <c r="K251" s="38">
        <v>3</v>
      </c>
      <c r="L251" s="37"/>
      <c r="M251" s="38">
        <v>0</v>
      </c>
      <c r="N251" s="38">
        <v>0</v>
      </c>
      <c r="O251" s="36"/>
      <c r="P251" s="40">
        <v>43005.83496527</v>
      </c>
      <c r="Q251" s="40">
        <v>43006.14138888</v>
      </c>
      <c r="R251" s="42">
        <v>7.35</v>
      </c>
    </row>
    <row r="252" ht="13.5" customHeight="1" spans="1:18">
      <c r="A252" s="36"/>
      <c r="B252" s="36" t="s">
        <v>29</v>
      </c>
      <c r="C252" s="36"/>
      <c r="D252" s="36"/>
      <c r="E252" s="36" t="s">
        <v>5</v>
      </c>
      <c r="F252" s="36"/>
      <c r="G252" s="36" t="s">
        <v>65</v>
      </c>
      <c r="H252" s="36"/>
      <c r="I252" s="36"/>
      <c r="J252" s="36" t="s">
        <v>58</v>
      </c>
      <c r="K252" s="38">
        <v>3</v>
      </c>
      <c r="L252" s="37"/>
      <c r="M252" s="38">
        <v>0</v>
      </c>
      <c r="N252" s="38">
        <v>0</v>
      </c>
      <c r="O252" s="36"/>
      <c r="P252" s="40">
        <v>43006.0884375</v>
      </c>
      <c r="Q252" s="40">
        <v>43006.13348379</v>
      </c>
      <c r="R252" s="42">
        <v>1.083333333333</v>
      </c>
    </row>
    <row r="253" ht="13.5" customHeight="1" spans="1:18">
      <c r="A253" s="36"/>
      <c r="B253" s="36" t="s">
        <v>29</v>
      </c>
      <c r="C253" s="36"/>
      <c r="D253" s="36"/>
      <c r="E253" s="36" t="s">
        <v>5</v>
      </c>
      <c r="F253" s="36"/>
      <c r="G253" s="36" t="s">
        <v>73</v>
      </c>
      <c r="H253" s="36"/>
      <c r="I253" s="36"/>
      <c r="J253" s="36" t="s">
        <v>58</v>
      </c>
      <c r="K253" s="38">
        <v>3</v>
      </c>
      <c r="L253" s="37"/>
      <c r="M253" s="38">
        <v>0</v>
      </c>
      <c r="N253" s="38">
        <v>0</v>
      </c>
      <c r="O253" s="36"/>
      <c r="P253" s="40">
        <v>43006.1821875</v>
      </c>
      <c r="Q253" s="40">
        <v>43006.21479166</v>
      </c>
      <c r="R253" s="42">
        <v>0.783333333333</v>
      </c>
    </row>
    <row r="254" ht="13.5" customHeight="1" spans="1:18">
      <c r="A254" s="36"/>
      <c r="B254" s="36" t="s">
        <v>29</v>
      </c>
      <c r="C254" s="36"/>
      <c r="D254" s="36"/>
      <c r="E254" s="36" t="s">
        <v>5</v>
      </c>
      <c r="F254" s="36"/>
      <c r="G254" s="36" t="s">
        <v>60</v>
      </c>
      <c r="H254" s="36"/>
      <c r="I254" s="36"/>
      <c r="J254" s="36" t="s">
        <v>58</v>
      </c>
      <c r="K254" s="38">
        <v>3</v>
      </c>
      <c r="L254" s="37"/>
      <c r="M254" s="38">
        <v>0</v>
      </c>
      <c r="N254" s="38">
        <v>0</v>
      </c>
      <c r="O254" s="36"/>
      <c r="P254" s="40">
        <v>43006.21413194</v>
      </c>
      <c r="Q254" s="40">
        <v>43006.40018518</v>
      </c>
      <c r="R254" s="42">
        <v>4.466666666666</v>
      </c>
    </row>
    <row r="255" ht="13.5" customHeight="1" spans="1:18">
      <c r="A255" s="36"/>
      <c r="B255" s="36" t="s">
        <v>32</v>
      </c>
      <c r="C255" s="36"/>
      <c r="D255" s="36"/>
      <c r="E255" s="36" t="s">
        <v>7</v>
      </c>
      <c r="F255" s="36"/>
      <c r="G255" s="36" t="s">
        <v>73</v>
      </c>
      <c r="H255" s="36"/>
      <c r="I255" s="36"/>
      <c r="J255" s="36" t="s">
        <v>58</v>
      </c>
      <c r="K255" s="38">
        <v>3</v>
      </c>
      <c r="L255" s="37"/>
      <c r="M255" s="38">
        <v>0</v>
      </c>
      <c r="N255" s="38">
        <v>0</v>
      </c>
      <c r="O255" s="36"/>
      <c r="P255" s="40">
        <v>43006.23288194</v>
      </c>
      <c r="Q255" s="40">
        <v>43006.24616898</v>
      </c>
      <c r="R255" s="42">
        <v>0.316666666666</v>
      </c>
    </row>
    <row r="256" ht="39" customHeight="1" spans="1:18">
      <c r="A256" s="36"/>
      <c r="B256" s="36" t="s">
        <v>32</v>
      </c>
      <c r="C256" s="36"/>
      <c r="D256" s="36"/>
      <c r="E256" s="36" t="s">
        <v>7</v>
      </c>
      <c r="F256" s="36"/>
      <c r="G256" s="36" t="s">
        <v>73</v>
      </c>
      <c r="H256" s="36"/>
      <c r="I256" s="39"/>
      <c r="J256" s="36" t="s">
        <v>58</v>
      </c>
      <c r="K256" s="38">
        <v>3</v>
      </c>
      <c r="L256" s="37"/>
      <c r="M256" s="38">
        <v>0</v>
      </c>
      <c r="N256" s="38">
        <v>0</v>
      </c>
      <c r="O256" s="36"/>
      <c r="P256" s="40">
        <v>43006.29260416</v>
      </c>
      <c r="Q256" s="40">
        <v>43006.31012731</v>
      </c>
      <c r="R256" s="42">
        <v>0.416666666666</v>
      </c>
    </row>
    <row r="257" ht="13.5" customHeight="1" spans="1:18">
      <c r="A257" s="36"/>
      <c r="B257" s="36" t="s">
        <v>32</v>
      </c>
      <c r="C257" s="36"/>
      <c r="D257" s="36"/>
      <c r="E257" s="36" t="s">
        <v>7</v>
      </c>
      <c r="F257" s="36"/>
      <c r="G257" s="36" t="s">
        <v>73</v>
      </c>
      <c r="H257" s="36"/>
      <c r="I257" s="36"/>
      <c r="J257" s="36" t="s">
        <v>58</v>
      </c>
      <c r="K257" s="38">
        <v>3</v>
      </c>
      <c r="L257" s="37"/>
      <c r="M257" s="38">
        <v>0</v>
      </c>
      <c r="N257" s="38">
        <v>0</v>
      </c>
      <c r="O257" s="36"/>
      <c r="P257" s="40">
        <v>43006.3134375</v>
      </c>
      <c r="Q257" s="40">
        <v>43006.42028935</v>
      </c>
      <c r="R257" s="42">
        <v>2.566666666666</v>
      </c>
    </row>
    <row r="258" ht="13.5" customHeight="1" spans="1:18">
      <c r="A258" s="36"/>
      <c r="B258" s="36" t="s">
        <v>29</v>
      </c>
      <c r="C258" s="36"/>
      <c r="D258" s="36"/>
      <c r="E258" s="36" t="s">
        <v>8</v>
      </c>
      <c r="F258" s="36"/>
      <c r="G258" s="36" t="s">
        <v>68</v>
      </c>
      <c r="H258" s="36"/>
      <c r="I258" s="36"/>
      <c r="J258" s="36" t="s">
        <v>58</v>
      </c>
      <c r="K258" s="38">
        <v>3</v>
      </c>
      <c r="L258" s="37"/>
      <c r="M258" s="38">
        <v>0</v>
      </c>
      <c r="N258" s="38">
        <v>0</v>
      </c>
      <c r="O258" s="36"/>
      <c r="P258" s="40">
        <v>43006.41652777</v>
      </c>
      <c r="Q258" s="40">
        <v>43007.59381944</v>
      </c>
      <c r="R258" s="42">
        <v>28.366666666666</v>
      </c>
    </row>
    <row r="259" ht="13.5" customHeight="1" spans="1:18">
      <c r="A259" s="36"/>
      <c r="B259" s="36" t="s">
        <v>29</v>
      </c>
      <c r="C259" s="36"/>
      <c r="D259" s="36"/>
      <c r="E259" s="36" t="s">
        <v>8</v>
      </c>
      <c r="F259" s="36"/>
      <c r="G259" s="36" t="s">
        <v>68</v>
      </c>
      <c r="H259" s="36"/>
      <c r="I259" s="36"/>
      <c r="J259" s="36" t="s">
        <v>58</v>
      </c>
      <c r="K259" s="38">
        <v>3</v>
      </c>
      <c r="L259" s="37"/>
      <c r="M259" s="38">
        <v>0</v>
      </c>
      <c r="N259" s="38">
        <v>0</v>
      </c>
      <c r="O259" s="36"/>
      <c r="P259" s="40">
        <v>43006.54373842</v>
      </c>
      <c r="Q259" s="40">
        <v>43007.48223379</v>
      </c>
      <c r="R259" s="42">
        <v>22.583333333333</v>
      </c>
    </row>
    <row r="260" ht="13.5" customHeight="1" spans="1:18">
      <c r="A260" s="36"/>
      <c r="B260" s="36" t="s">
        <v>32</v>
      </c>
      <c r="C260" s="36"/>
      <c r="D260" s="36"/>
      <c r="E260" s="36" t="s">
        <v>7</v>
      </c>
      <c r="F260" s="36"/>
      <c r="G260" s="36" t="s">
        <v>73</v>
      </c>
      <c r="H260" s="36"/>
      <c r="I260" s="36"/>
      <c r="J260" s="36" t="s">
        <v>58</v>
      </c>
      <c r="K260" s="38">
        <v>3</v>
      </c>
      <c r="L260" s="37"/>
      <c r="M260" s="38">
        <v>0</v>
      </c>
      <c r="N260" s="38">
        <v>0</v>
      </c>
      <c r="O260" s="36"/>
      <c r="P260" s="40">
        <v>43006.67802083</v>
      </c>
      <c r="Q260" s="40">
        <v>43006.75487268</v>
      </c>
      <c r="R260" s="42">
        <v>1.85</v>
      </c>
    </row>
    <row r="261" ht="13.5" customHeight="1" spans="1:18">
      <c r="A261" s="36"/>
      <c r="B261" s="36" t="s">
        <v>29</v>
      </c>
      <c r="C261" s="36"/>
      <c r="D261" s="36"/>
      <c r="E261" s="36" t="s">
        <v>5</v>
      </c>
      <c r="F261" s="36"/>
      <c r="G261" s="36" t="s">
        <v>73</v>
      </c>
      <c r="H261" s="36"/>
      <c r="I261" s="36"/>
      <c r="J261" s="36" t="s">
        <v>58</v>
      </c>
      <c r="K261" s="38">
        <v>3</v>
      </c>
      <c r="L261" s="37"/>
      <c r="M261" s="38">
        <v>0</v>
      </c>
      <c r="N261" s="38">
        <v>0</v>
      </c>
      <c r="O261" s="36"/>
      <c r="P261" s="40">
        <v>43006.80371527</v>
      </c>
      <c r="Q261" s="40">
        <v>43007.0583449</v>
      </c>
      <c r="R261" s="42">
        <v>6.116666666666</v>
      </c>
    </row>
    <row r="262" ht="13.5" customHeight="1" spans="1:18">
      <c r="A262" s="36"/>
      <c r="B262" s="36" t="s">
        <v>29</v>
      </c>
      <c r="C262" s="36"/>
      <c r="D262" s="36"/>
      <c r="E262" s="36" t="s">
        <v>5</v>
      </c>
      <c r="F262" s="36"/>
      <c r="G262" s="36" t="s">
        <v>73</v>
      </c>
      <c r="H262" s="36"/>
      <c r="I262" s="36"/>
      <c r="J262" s="36" t="s">
        <v>58</v>
      </c>
      <c r="K262" s="38">
        <v>3</v>
      </c>
      <c r="L262" s="37"/>
      <c r="M262" s="38">
        <v>0</v>
      </c>
      <c r="N262" s="38">
        <v>0</v>
      </c>
      <c r="O262" s="36"/>
      <c r="P262" s="40">
        <v>43006.8071875</v>
      </c>
      <c r="Q262" s="40">
        <v>43006.878125</v>
      </c>
      <c r="R262" s="42">
        <v>1.7</v>
      </c>
    </row>
    <row r="263" ht="13.5" customHeight="1" spans="1:18">
      <c r="A263" s="36"/>
      <c r="B263" s="36" t="s">
        <v>29</v>
      </c>
      <c r="C263" s="36"/>
      <c r="D263" s="36"/>
      <c r="E263" s="36" t="s">
        <v>5</v>
      </c>
      <c r="F263" s="36"/>
      <c r="G263" s="36" t="s">
        <v>73</v>
      </c>
      <c r="H263" s="36"/>
      <c r="I263" s="36"/>
      <c r="J263" s="36" t="s">
        <v>58</v>
      </c>
      <c r="K263" s="38">
        <v>3</v>
      </c>
      <c r="L263" s="37"/>
      <c r="M263" s="38">
        <v>0</v>
      </c>
      <c r="N263" s="38">
        <v>0</v>
      </c>
      <c r="O263" s="36"/>
      <c r="P263" s="40">
        <v>43006.83670138</v>
      </c>
      <c r="Q263" s="40">
        <v>43007.05939814</v>
      </c>
      <c r="R263" s="42">
        <v>5.35</v>
      </c>
    </row>
    <row r="264" ht="13.5" customHeight="1" spans="1:18">
      <c r="A264" s="36"/>
      <c r="B264" s="36" t="s">
        <v>29</v>
      </c>
      <c r="C264" s="36"/>
      <c r="D264" s="36"/>
      <c r="E264" s="36" t="s">
        <v>5</v>
      </c>
      <c r="F264" s="36"/>
      <c r="G264" s="36" t="s">
        <v>73</v>
      </c>
      <c r="H264" s="36"/>
      <c r="I264" s="36"/>
      <c r="J264" s="36" t="s">
        <v>58</v>
      </c>
      <c r="K264" s="38">
        <v>3</v>
      </c>
      <c r="L264" s="37"/>
      <c r="M264" s="38">
        <v>0</v>
      </c>
      <c r="N264" s="38">
        <v>0</v>
      </c>
      <c r="O264" s="36"/>
      <c r="P264" s="40">
        <v>43006.84190972</v>
      </c>
      <c r="Q264" s="40">
        <v>43007.0603125</v>
      </c>
      <c r="R264" s="42">
        <v>5.25</v>
      </c>
    </row>
    <row r="265" ht="13.5" customHeight="1" spans="1:18">
      <c r="A265" s="36"/>
      <c r="B265" s="36" t="s">
        <v>29</v>
      </c>
      <c r="C265" s="36"/>
      <c r="D265" s="36"/>
      <c r="E265" s="36" t="s">
        <v>5</v>
      </c>
      <c r="F265" s="36"/>
      <c r="G265" s="36" t="s">
        <v>59</v>
      </c>
      <c r="H265" s="36"/>
      <c r="I265" s="36"/>
      <c r="J265" s="36" t="s">
        <v>58</v>
      </c>
      <c r="K265" s="38">
        <v>3</v>
      </c>
      <c r="L265" s="37"/>
      <c r="M265" s="38">
        <v>0</v>
      </c>
      <c r="N265" s="38">
        <v>0</v>
      </c>
      <c r="O265" s="36"/>
      <c r="P265" s="40">
        <v>43006.88600694</v>
      </c>
      <c r="Q265" s="40">
        <v>43007.06252314</v>
      </c>
      <c r="R265" s="42">
        <v>4.233333333333</v>
      </c>
    </row>
    <row r="266" ht="13.5" customHeight="1" spans="1:18">
      <c r="A266" s="36"/>
      <c r="B266" s="36" t="s">
        <v>29</v>
      </c>
      <c r="C266" s="36"/>
      <c r="D266" s="36"/>
      <c r="E266" s="36" t="s">
        <v>5</v>
      </c>
      <c r="F266" s="36"/>
      <c r="G266" s="36" t="s">
        <v>65</v>
      </c>
      <c r="H266" s="36"/>
      <c r="I266" s="36"/>
      <c r="J266" s="36" t="s">
        <v>58</v>
      </c>
      <c r="K266" s="38">
        <v>3</v>
      </c>
      <c r="L266" s="37"/>
      <c r="M266" s="38">
        <v>0</v>
      </c>
      <c r="N266" s="38">
        <v>0</v>
      </c>
      <c r="O266" s="36"/>
      <c r="P266" s="40">
        <v>43007.0874074</v>
      </c>
      <c r="Q266" s="40">
        <v>43007.10958333</v>
      </c>
      <c r="R266" s="42">
        <v>0.533333333333</v>
      </c>
    </row>
    <row r="267" ht="13.5" customHeight="1" spans="1:18">
      <c r="A267" s="36"/>
      <c r="B267" s="36" t="s">
        <v>29</v>
      </c>
      <c r="C267" s="36"/>
      <c r="D267" s="36"/>
      <c r="E267" s="36" t="s">
        <v>5</v>
      </c>
      <c r="F267" s="36"/>
      <c r="G267" s="36" t="s">
        <v>73</v>
      </c>
      <c r="H267" s="36"/>
      <c r="I267" s="36"/>
      <c r="J267" s="36" t="s">
        <v>58</v>
      </c>
      <c r="K267" s="38">
        <v>3</v>
      </c>
      <c r="L267" s="37"/>
      <c r="M267" s="38">
        <v>0</v>
      </c>
      <c r="N267" s="38">
        <v>0</v>
      </c>
      <c r="O267" s="36"/>
      <c r="P267" s="40">
        <v>43007.18219907</v>
      </c>
      <c r="Q267" s="40">
        <v>43007.19122685</v>
      </c>
      <c r="R267" s="42">
        <v>0.216666666666</v>
      </c>
    </row>
    <row r="268" ht="13.5" customHeight="1" spans="1:18">
      <c r="A268" s="36"/>
      <c r="B268" s="36" t="s">
        <v>29</v>
      </c>
      <c r="C268" s="36"/>
      <c r="D268" s="36"/>
      <c r="E268" s="36" t="s">
        <v>5</v>
      </c>
      <c r="F268" s="36"/>
      <c r="G268" s="36" t="s">
        <v>73</v>
      </c>
      <c r="H268" s="36"/>
      <c r="I268" s="36"/>
      <c r="J268" s="36" t="s">
        <v>58</v>
      </c>
      <c r="K268" s="38">
        <v>3</v>
      </c>
      <c r="L268" s="37"/>
      <c r="M268" s="38">
        <v>0</v>
      </c>
      <c r="N268" s="38">
        <v>0</v>
      </c>
      <c r="O268" s="36"/>
      <c r="P268" s="40">
        <v>43007.19504629</v>
      </c>
      <c r="Q268" s="40">
        <v>43007.24347222</v>
      </c>
      <c r="R268" s="42">
        <v>1.166666666666</v>
      </c>
    </row>
    <row r="269" ht="13.5" customHeight="1" spans="1:18">
      <c r="A269" s="36"/>
      <c r="B269" s="36" t="s">
        <v>29</v>
      </c>
      <c r="C269" s="36"/>
      <c r="D269" s="36"/>
      <c r="E269" s="36" t="s">
        <v>5</v>
      </c>
      <c r="F269" s="36"/>
      <c r="G269" s="36" t="s">
        <v>73</v>
      </c>
      <c r="H269" s="36"/>
      <c r="I269" s="36"/>
      <c r="J269" s="36" t="s">
        <v>58</v>
      </c>
      <c r="K269" s="38">
        <v>3</v>
      </c>
      <c r="L269" s="37"/>
      <c r="M269" s="38">
        <v>0</v>
      </c>
      <c r="N269" s="38">
        <v>0</v>
      </c>
      <c r="O269" s="36"/>
      <c r="P269" s="40">
        <v>43007.58946759</v>
      </c>
      <c r="Q269" s="40">
        <v>43007.63811342</v>
      </c>
      <c r="R269" s="42">
        <v>1.166666666666</v>
      </c>
    </row>
    <row r="270" ht="13.5" customHeight="1" spans="1:18">
      <c r="A270" s="36"/>
      <c r="B270" s="36" t="s">
        <v>29</v>
      </c>
      <c r="C270" s="36"/>
      <c r="D270" s="36"/>
      <c r="E270" s="36" t="s">
        <v>8</v>
      </c>
      <c r="F270" s="36"/>
      <c r="G270" s="36" t="s">
        <v>68</v>
      </c>
      <c r="H270" s="36"/>
      <c r="I270" s="36"/>
      <c r="J270" s="36" t="s">
        <v>56</v>
      </c>
      <c r="K270" s="38">
        <v>4</v>
      </c>
      <c r="L270" s="37"/>
      <c r="M270" s="38">
        <v>0</v>
      </c>
      <c r="N270" s="38">
        <v>0</v>
      </c>
      <c r="O270" s="36"/>
      <c r="P270" s="40">
        <v>43007.64598379</v>
      </c>
      <c r="Q270" s="40">
        <v>43010.53525463</v>
      </c>
      <c r="R270" s="42">
        <v>69.583333333333</v>
      </c>
    </row>
    <row r="271" ht="13.5" customHeight="1" spans="1:18">
      <c r="A271" s="36"/>
      <c r="B271" s="36" t="s">
        <v>29</v>
      </c>
      <c r="C271" s="36"/>
      <c r="D271" s="36"/>
      <c r="E271" s="36" t="s">
        <v>8</v>
      </c>
      <c r="F271" s="36"/>
      <c r="G271" s="37"/>
      <c r="H271" s="37"/>
      <c r="I271" s="36"/>
      <c r="J271" s="36" t="s">
        <v>81</v>
      </c>
      <c r="K271" s="38">
        <v>4</v>
      </c>
      <c r="L271" s="37"/>
      <c r="M271" s="38">
        <v>0</v>
      </c>
      <c r="N271" s="38">
        <v>0</v>
      </c>
      <c r="O271" s="36"/>
      <c r="P271" s="40">
        <v>43007.69912037</v>
      </c>
      <c r="Q271" s="37"/>
      <c r="R271" s="38">
        <v>0</v>
      </c>
    </row>
    <row r="272" ht="13.5" customHeight="1" spans="1:18">
      <c r="A272" s="36"/>
      <c r="B272" s="36" t="s">
        <v>29</v>
      </c>
      <c r="C272" s="36"/>
      <c r="D272" s="36"/>
      <c r="E272" s="36" t="s">
        <v>7</v>
      </c>
      <c r="F272" s="36"/>
      <c r="G272" s="36" t="s">
        <v>68</v>
      </c>
      <c r="H272" s="36"/>
      <c r="I272" s="36"/>
      <c r="J272" s="36" t="s">
        <v>56</v>
      </c>
      <c r="K272" s="38">
        <v>4</v>
      </c>
      <c r="L272" s="37"/>
      <c r="M272" s="38">
        <v>0</v>
      </c>
      <c r="N272" s="38">
        <v>0</v>
      </c>
      <c r="O272" s="36"/>
      <c r="P272" s="40">
        <v>43007.70302083</v>
      </c>
      <c r="Q272" s="40">
        <v>43010.49790509</v>
      </c>
      <c r="R272" s="42">
        <v>67.25</v>
      </c>
    </row>
    <row r="273" ht="13.5" customHeight="1" spans="1:18">
      <c r="A273" s="36"/>
      <c r="B273" s="36" t="s">
        <v>29</v>
      </c>
      <c r="C273" s="36"/>
      <c r="D273" s="36"/>
      <c r="E273" s="36" t="s">
        <v>5</v>
      </c>
      <c r="F273" s="36"/>
      <c r="G273" s="36" t="s">
        <v>73</v>
      </c>
      <c r="H273" s="36"/>
      <c r="I273" s="36"/>
      <c r="J273" s="36" t="s">
        <v>56</v>
      </c>
      <c r="K273" s="38">
        <v>3</v>
      </c>
      <c r="L273" s="37"/>
      <c r="M273" s="38">
        <v>0</v>
      </c>
      <c r="N273" s="38">
        <v>0</v>
      </c>
      <c r="O273" s="36"/>
      <c r="P273" s="40">
        <v>43007.8037037</v>
      </c>
      <c r="Q273" s="40">
        <v>43008.5321412</v>
      </c>
      <c r="R273" s="42">
        <v>17.483333333333</v>
      </c>
    </row>
    <row r="274" ht="13.5" customHeight="1" spans="1:18">
      <c r="A274" s="36"/>
      <c r="B274" s="36" t="s">
        <v>29</v>
      </c>
      <c r="C274" s="36"/>
      <c r="D274" s="36"/>
      <c r="E274" s="36" t="s">
        <v>5</v>
      </c>
      <c r="F274" s="36"/>
      <c r="G274" s="36" t="s">
        <v>65</v>
      </c>
      <c r="H274" s="36"/>
      <c r="I274" s="36"/>
      <c r="J274" s="36" t="s">
        <v>56</v>
      </c>
      <c r="K274" s="38">
        <v>4</v>
      </c>
      <c r="L274" s="37"/>
      <c r="M274" s="38">
        <v>0</v>
      </c>
      <c r="N274" s="38">
        <v>0</v>
      </c>
      <c r="O274" s="36"/>
      <c r="P274" s="40">
        <v>43008.08738425</v>
      </c>
      <c r="Q274" s="40">
        <v>43010.12733796</v>
      </c>
      <c r="R274" s="42">
        <v>48.966666666666</v>
      </c>
    </row>
    <row r="275" ht="13.5" customHeight="1" spans="1:18">
      <c r="A275" s="36"/>
      <c r="B275" s="36" t="s">
        <v>29</v>
      </c>
      <c r="C275" s="36"/>
      <c r="D275" s="36"/>
      <c r="E275" s="36" t="s">
        <v>5</v>
      </c>
      <c r="F275" s="36"/>
      <c r="G275" s="36" t="s">
        <v>60</v>
      </c>
      <c r="H275" s="36"/>
      <c r="I275" s="36"/>
      <c r="J275" s="36" t="s">
        <v>56</v>
      </c>
      <c r="K275" s="38">
        <v>4</v>
      </c>
      <c r="L275" s="37"/>
      <c r="M275" s="38">
        <v>0</v>
      </c>
      <c r="N275" s="38">
        <v>0</v>
      </c>
      <c r="O275" s="36"/>
      <c r="P275" s="40">
        <v>43008.11759259</v>
      </c>
      <c r="Q275" s="40">
        <v>43010.49623842</v>
      </c>
      <c r="R275" s="42">
        <v>57.083333333333</v>
      </c>
    </row>
    <row r="276" ht="13.5" customHeight="1" spans="1:18">
      <c r="A276" s="36"/>
      <c r="B276" s="36" t="s">
        <v>29</v>
      </c>
      <c r="C276" s="36"/>
      <c r="D276" s="36"/>
      <c r="E276" s="36" t="s">
        <v>5</v>
      </c>
      <c r="F276" s="36"/>
      <c r="G276" s="36" t="s">
        <v>60</v>
      </c>
      <c r="H276" s="36"/>
      <c r="I276" s="36"/>
      <c r="J276" s="36" t="s">
        <v>56</v>
      </c>
      <c r="K276" s="38">
        <v>4</v>
      </c>
      <c r="L276" s="37"/>
      <c r="M276" s="38">
        <v>0</v>
      </c>
      <c r="N276" s="38">
        <v>0</v>
      </c>
      <c r="O276" s="36"/>
      <c r="P276" s="40">
        <v>43008.17662037</v>
      </c>
      <c r="Q276" s="40">
        <v>43010.24167824</v>
      </c>
      <c r="R276" s="42">
        <v>49.566666666666</v>
      </c>
    </row>
    <row r="277" ht="13.5" customHeight="1" spans="1:18">
      <c r="A277" s="36"/>
      <c r="B277" s="36" t="s">
        <v>29</v>
      </c>
      <c r="C277" s="36"/>
      <c r="D277" s="36"/>
      <c r="E277" s="36" t="s">
        <v>5</v>
      </c>
      <c r="F277" s="36"/>
      <c r="G277" s="36" t="s">
        <v>73</v>
      </c>
      <c r="H277" s="36"/>
      <c r="I277" s="36"/>
      <c r="J277" s="36" t="s">
        <v>56</v>
      </c>
      <c r="K277" s="38">
        <v>3</v>
      </c>
      <c r="L277" s="37"/>
      <c r="M277" s="38">
        <v>0</v>
      </c>
      <c r="N277" s="38">
        <v>0</v>
      </c>
      <c r="O277" s="36"/>
      <c r="P277" s="40">
        <v>43008.18217592</v>
      </c>
      <c r="Q277" s="40">
        <v>43008.53383101</v>
      </c>
      <c r="R277" s="42">
        <v>8.433333333333</v>
      </c>
    </row>
    <row r="278" ht="13.5" customHeight="1" spans="1:18">
      <c r="A278" s="36"/>
      <c r="B278" s="36" t="s">
        <v>32</v>
      </c>
      <c r="C278" s="36"/>
      <c r="D278" s="36"/>
      <c r="E278" s="36" t="s">
        <v>7</v>
      </c>
      <c r="F278" s="36"/>
      <c r="G278" s="36" t="s">
        <v>73</v>
      </c>
      <c r="H278" s="36"/>
      <c r="I278" s="36"/>
      <c r="J278" s="36" t="s">
        <v>56</v>
      </c>
      <c r="K278" s="38">
        <v>3</v>
      </c>
      <c r="L278" s="37"/>
      <c r="M278" s="38">
        <v>0</v>
      </c>
      <c r="N278" s="38">
        <v>0</v>
      </c>
      <c r="O278" s="36"/>
      <c r="P278" s="40">
        <v>43008.1880787</v>
      </c>
      <c r="Q278" s="40">
        <v>43008.53629629</v>
      </c>
      <c r="R278" s="42">
        <v>8.35</v>
      </c>
    </row>
    <row r="279" ht="13.5" customHeight="1" spans="1:18">
      <c r="A279" s="36"/>
      <c r="B279" s="36" t="s">
        <v>29</v>
      </c>
      <c r="C279" s="36"/>
      <c r="D279" s="36"/>
      <c r="E279" s="36" t="s">
        <v>5</v>
      </c>
      <c r="F279" s="36"/>
      <c r="G279" s="36" t="s">
        <v>73</v>
      </c>
      <c r="H279" s="36"/>
      <c r="I279" s="36"/>
      <c r="J279" s="36" t="s">
        <v>56</v>
      </c>
      <c r="K279" s="38">
        <v>3</v>
      </c>
      <c r="L279" s="37"/>
      <c r="M279" s="38">
        <v>0</v>
      </c>
      <c r="N279" s="38">
        <v>0</v>
      </c>
      <c r="O279" s="36"/>
      <c r="P279" s="40">
        <v>43008.8071875</v>
      </c>
      <c r="Q279" s="40">
        <v>43008.89614583</v>
      </c>
      <c r="R279" s="42">
        <v>2.133333333333</v>
      </c>
    </row>
    <row r="280" ht="13.5" customHeight="1" spans="1:18">
      <c r="A280" s="36"/>
      <c r="B280" s="36" t="s">
        <v>29</v>
      </c>
      <c r="C280" s="36"/>
      <c r="D280" s="36"/>
      <c r="E280" s="36" t="s">
        <v>5</v>
      </c>
      <c r="F280" s="36"/>
      <c r="G280" s="36" t="s">
        <v>59</v>
      </c>
      <c r="H280" s="36"/>
      <c r="I280" s="36"/>
      <c r="J280" s="36" t="s">
        <v>56</v>
      </c>
      <c r="K280" s="38">
        <v>4</v>
      </c>
      <c r="L280" s="37"/>
      <c r="M280" s="38">
        <v>0</v>
      </c>
      <c r="N280" s="38">
        <v>0</v>
      </c>
      <c r="O280" s="36"/>
      <c r="P280" s="40">
        <v>43008.88565972</v>
      </c>
      <c r="Q280" s="40">
        <v>43010.24410879</v>
      </c>
      <c r="R280" s="42">
        <v>32.6</v>
      </c>
    </row>
    <row r="281" ht="13.5" customHeight="1" spans="1:18">
      <c r="A281" s="36"/>
      <c r="B281" s="36" t="s">
        <v>32</v>
      </c>
      <c r="C281" s="36"/>
      <c r="D281" s="36"/>
      <c r="E281" s="36" t="s">
        <v>7</v>
      </c>
      <c r="F281" s="36"/>
      <c r="G281" s="36" t="s">
        <v>61</v>
      </c>
      <c r="H281" s="36"/>
      <c r="I281" s="36"/>
      <c r="J281" s="36" t="s">
        <v>56</v>
      </c>
      <c r="K281" s="38">
        <v>4</v>
      </c>
      <c r="L281" s="37"/>
      <c r="M281" s="38">
        <v>0</v>
      </c>
      <c r="N281" s="38">
        <v>0</v>
      </c>
      <c r="O281" s="36"/>
      <c r="P281" s="40">
        <v>43008.89017361</v>
      </c>
      <c r="Q281" s="40">
        <v>43010.48204861</v>
      </c>
      <c r="R281" s="42">
        <v>38.2</v>
      </c>
    </row>
    <row r="282" ht="13.5" customHeight="1" spans="1:18">
      <c r="A282" s="36"/>
      <c r="B282" s="36" t="s">
        <v>32</v>
      </c>
      <c r="C282" s="36"/>
      <c r="D282" s="36"/>
      <c r="E282" s="36" t="s">
        <v>7</v>
      </c>
      <c r="F282" s="36"/>
      <c r="G282" s="36" t="s">
        <v>61</v>
      </c>
      <c r="H282" s="36"/>
      <c r="I282" s="36"/>
      <c r="J282" s="36" t="s">
        <v>56</v>
      </c>
      <c r="K282" s="38">
        <v>3</v>
      </c>
      <c r="L282" s="37"/>
      <c r="M282" s="38">
        <v>0</v>
      </c>
      <c r="N282" s="38">
        <v>0</v>
      </c>
      <c r="O282" s="36"/>
      <c r="P282" s="40">
        <v>43008.89607638</v>
      </c>
      <c r="Q282" s="40">
        <v>43009.513125</v>
      </c>
      <c r="R282" s="42">
        <v>14.816666666666</v>
      </c>
    </row>
    <row r="283" ht="13.5" customHeight="1" spans="1:18">
      <c r="A283" s="36"/>
      <c r="B283" s="36" t="s">
        <v>29</v>
      </c>
      <c r="C283" s="36"/>
      <c r="D283" s="36"/>
      <c r="E283" s="36" t="s">
        <v>5</v>
      </c>
      <c r="F283" s="36"/>
      <c r="G283" s="36" t="s">
        <v>60</v>
      </c>
      <c r="H283" s="36"/>
      <c r="I283" s="36"/>
      <c r="J283" s="36" t="s">
        <v>58</v>
      </c>
      <c r="K283" s="38">
        <v>3</v>
      </c>
      <c r="L283" s="37"/>
      <c r="M283" s="38">
        <v>0</v>
      </c>
      <c r="N283" s="38">
        <v>0</v>
      </c>
      <c r="O283" s="36"/>
      <c r="P283" s="40">
        <v>42978.27688657</v>
      </c>
      <c r="Q283" s="40">
        <v>42979.25751157</v>
      </c>
      <c r="R283" s="42">
        <v>23.533333333333</v>
      </c>
    </row>
    <row r="284" ht="13.5" customHeight="1" spans="1:18">
      <c r="A284" s="36"/>
      <c r="B284" s="36" t="s">
        <v>29</v>
      </c>
      <c r="C284" s="36"/>
      <c r="D284" s="36"/>
      <c r="E284" s="36" t="s">
        <v>5</v>
      </c>
      <c r="F284" s="36"/>
      <c r="G284" s="37"/>
      <c r="H284" s="37"/>
      <c r="I284" s="37"/>
      <c r="J284" s="36" t="s">
        <v>56</v>
      </c>
      <c r="K284" s="38">
        <v>3</v>
      </c>
      <c r="L284" s="37"/>
      <c r="M284" s="38">
        <v>0</v>
      </c>
      <c r="N284" s="38">
        <v>1</v>
      </c>
      <c r="O284" s="36"/>
      <c r="P284" s="40">
        <v>42978.78305555</v>
      </c>
      <c r="Q284" s="40">
        <v>42979.26394675</v>
      </c>
      <c r="R284" s="38">
        <v>0</v>
      </c>
    </row>
    <row r="285" ht="13.5" customHeight="1" spans="1:18">
      <c r="A285" s="36"/>
      <c r="B285" s="36" t="s">
        <v>29</v>
      </c>
      <c r="C285" s="36"/>
      <c r="D285" s="36"/>
      <c r="E285" s="36" t="s">
        <v>5</v>
      </c>
      <c r="F285" s="36"/>
      <c r="G285" s="37"/>
      <c r="H285" s="37"/>
      <c r="I285" s="37"/>
      <c r="J285" s="36" t="s">
        <v>56</v>
      </c>
      <c r="K285" s="38">
        <v>3</v>
      </c>
      <c r="L285" s="37"/>
      <c r="M285" s="38">
        <v>0</v>
      </c>
      <c r="N285" s="38">
        <v>1</v>
      </c>
      <c r="O285" s="36"/>
      <c r="P285" s="40">
        <v>42978.82472222</v>
      </c>
      <c r="Q285" s="40">
        <v>42979.2649537</v>
      </c>
      <c r="R285" s="38">
        <v>0</v>
      </c>
    </row>
    <row r="286" ht="13.5" customHeight="1" spans="1:18">
      <c r="A286" s="36"/>
      <c r="B286" s="36" t="s">
        <v>32</v>
      </c>
      <c r="C286" s="36"/>
      <c r="D286" s="36"/>
      <c r="E286" s="36" t="s">
        <v>7</v>
      </c>
      <c r="F286" s="36"/>
      <c r="G286" s="36" t="s">
        <v>60</v>
      </c>
      <c r="H286" s="36"/>
      <c r="I286" s="36"/>
      <c r="J286" s="36" t="s">
        <v>58</v>
      </c>
      <c r="K286" s="38">
        <v>3</v>
      </c>
      <c r="L286" s="37"/>
      <c r="M286" s="38">
        <v>0</v>
      </c>
      <c r="N286" s="38">
        <v>0</v>
      </c>
      <c r="O286" s="36"/>
      <c r="P286" s="40">
        <v>42978.66194444</v>
      </c>
      <c r="Q286" s="40">
        <v>42979.62741898</v>
      </c>
      <c r="R286" s="42">
        <v>23.25</v>
      </c>
    </row>
    <row r="287" ht="13.5" customHeight="1" spans="1:18">
      <c r="A287" s="43"/>
      <c r="B287" s="36"/>
      <c r="C287" s="36"/>
      <c r="D287" s="36"/>
      <c r="E287" s="36"/>
      <c r="F287" s="36"/>
      <c r="G287" s="36"/>
      <c r="H287" s="36"/>
      <c r="I287" s="36"/>
      <c r="J287" s="36"/>
      <c r="K287" s="38"/>
      <c r="L287" s="37"/>
      <c r="M287" s="38"/>
      <c r="N287" s="38"/>
      <c r="O287" s="36"/>
      <c r="P287" s="40"/>
      <c r="Q287" s="40"/>
      <c r="R287" s="42"/>
    </row>
    <row r="288" ht="13.5" customHeight="1" spans="1:18">
      <c r="A288" s="43"/>
      <c r="B288" s="36"/>
      <c r="C288" s="36"/>
      <c r="D288" s="36"/>
      <c r="E288" s="36"/>
      <c r="F288" s="36"/>
      <c r="G288" s="36"/>
      <c r="H288" s="36"/>
      <c r="I288" s="36"/>
      <c r="J288" s="36"/>
      <c r="K288" s="38"/>
      <c r="L288" s="37"/>
      <c r="M288" s="38"/>
      <c r="N288" s="38"/>
      <c r="O288" s="36"/>
      <c r="P288" s="40"/>
      <c r="Q288" s="40"/>
      <c r="R288" s="42"/>
    </row>
    <row r="289" ht="13.5" customHeight="1" spans="1:18">
      <c r="A289" s="43"/>
      <c r="B289" s="36"/>
      <c r="C289" s="36"/>
      <c r="D289" s="36"/>
      <c r="E289" s="36"/>
      <c r="F289" s="36"/>
      <c r="G289" s="36"/>
      <c r="H289" s="36"/>
      <c r="I289" s="36"/>
      <c r="J289" s="36"/>
      <c r="K289" s="38"/>
      <c r="L289" s="37"/>
      <c r="M289" s="38"/>
      <c r="N289" s="38"/>
      <c r="O289" s="36"/>
      <c r="P289" s="40"/>
      <c r="Q289" s="40"/>
      <c r="R289" s="42"/>
    </row>
    <row r="290" ht="13.5" customHeight="1" spans="1:18">
      <c r="A290" s="43"/>
      <c r="B290" s="36"/>
      <c r="C290" s="36"/>
      <c r="D290" s="36"/>
      <c r="E290" s="36"/>
      <c r="F290" s="36"/>
      <c r="G290" s="36"/>
      <c r="H290" s="36"/>
      <c r="I290" s="36"/>
      <c r="J290" s="36"/>
      <c r="K290" s="38"/>
      <c r="L290" s="37"/>
      <c r="M290" s="38"/>
      <c r="N290" s="38"/>
      <c r="O290" s="36"/>
      <c r="P290" s="40"/>
      <c r="Q290" s="40"/>
      <c r="R290" s="42"/>
    </row>
    <row r="291" ht="13.5" customHeight="1" spans="1:18">
      <c r="A291" s="43"/>
      <c r="B291" s="36"/>
      <c r="C291" s="36"/>
      <c r="D291" s="36"/>
      <c r="E291" s="36"/>
      <c r="F291" s="36"/>
      <c r="G291" s="36"/>
      <c r="H291" s="36"/>
      <c r="I291" s="36"/>
      <c r="J291" s="36"/>
      <c r="K291" s="38"/>
      <c r="L291" s="37"/>
      <c r="M291" s="38"/>
      <c r="N291" s="38"/>
      <c r="O291" s="36"/>
      <c r="P291" s="40"/>
      <c r="Q291" s="40"/>
      <c r="R291" s="42"/>
    </row>
    <row r="292" ht="13.5" customHeight="1" spans="1:18">
      <c r="A292" s="43"/>
      <c r="B292" s="36"/>
      <c r="C292" s="36"/>
      <c r="D292" s="36"/>
      <c r="E292" s="36"/>
      <c r="F292" s="36"/>
      <c r="G292" s="36"/>
      <c r="H292" s="36"/>
      <c r="I292" s="36"/>
      <c r="J292" s="36"/>
      <c r="K292" s="38"/>
      <c r="L292" s="37"/>
      <c r="M292" s="38"/>
      <c r="N292" s="38"/>
      <c r="O292" s="36"/>
      <c r="P292" s="40"/>
      <c r="Q292" s="40"/>
      <c r="R292" s="42"/>
    </row>
    <row r="293" ht="13.5" customHeight="1" spans="1:18">
      <c r="A293" s="43"/>
      <c r="B293" s="36"/>
      <c r="C293" s="36"/>
      <c r="D293" s="36"/>
      <c r="E293" s="36"/>
      <c r="F293" s="36"/>
      <c r="G293" s="36"/>
      <c r="H293" s="36"/>
      <c r="I293" s="36"/>
      <c r="J293" s="36"/>
      <c r="K293" s="38"/>
      <c r="L293" s="37"/>
      <c r="M293" s="38"/>
      <c r="N293" s="38"/>
      <c r="O293" s="36"/>
      <c r="P293" s="40"/>
      <c r="Q293" s="40"/>
      <c r="R293" s="42"/>
    </row>
    <row r="294" ht="13.5" customHeight="1" spans="1:18">
      <c r="A294" s="43"/>
      <c r="B294" s="36"/>
      <c r="C294" s="36"/>
      <c r="D294" s="36"/>
      <c r="E294" s="36"/>
      <c r="F294" s="36"/>
      <c r="G294" s="36"/>
      <c r="H294" s="36"/>
      <c r="I294" s="36"/>
      <c r="J294" s="36"/>
      <c r="K294" s="38"/>
      <c r="L294" s="37"/>
      <c r="M294" s="38"/>
      <c r="N294" s="38"/>
      <c r="O294" s="36"/>
      <c r="P294" s="40"/>
      <c r="Q294" s="40"/>
      <c r="R294" s="42"/>
    </row>
    <row r="295" ht="13.5" customHeight="1" spans="1:18">
      <c r="A295" s="43"/>
      <c r="B295" s="36"/>
      <c r="C295" s="36"/>
      <c r="D295" s="36"/>
      <c r="E295" s="36"/>
      <c r="F295" s="36"/>
      <c r="G295" s="36"/>
      <c r="H295" s="36"/>
      <c r="I295" s="36"/>
      <c r="J295" s="36"/>
      <c r="K295" s="38"/>
      <c r="L295" s="37"/>
      <c r="M295" s="38"/>
      <c r="N295" s="38"/>
      <c r="O295" s="36"/>
      <c r="P295" s="40"/>
      <c r="Q295" s="40"/>
      <c r="R295" s="42"/>
    </row>
    <row r="296" ht="13.5" customHeight="1" spans="1:18">
      <c r="A296" s="43"/>
      <c r="B296" s="36"/>
      <c r="C296" s="36"/>
      <c r="D296" s="36"/>
      <c r="E296" s="36"/>
      <c r="F296" s="36"/>
      <c r="G296" s="36"/>
      <c r="H296" s="36"/>
      <c r="I296" s="36"/>
      <c r="J296" s="36"/>
      <c r="K296" s="38"/>
      <c r="L296" s="37"/>
      <c r="M296" s="38"/>
      <c r="N296" s="38"/>
      <c r="O296" s="36"/>
      <c r="P296" s="40"/>
      <c r="Q296" s="40"/>
      <c r="R296" s="42"/>
    </row>
    <row r="297" ht="13.5" customHeight="1" spans="1:18">
      <c r="A297" s="43"/>
      <c r="B297" s="36"/>
      <c r="C297" s="36"/>
      <c r="D297" s="36"/>
      <c r="E297" s="36"/>
      <c r="F297" s="36"/>
      <c r="G297" s="36"/>
      <c r="H297" s="36"/>
      <c r="I297" s="36"/>
      <c r="J297" s="36"/>
      <c r="K297" s="38"/>
      <c r="L297" s="37"/>
      <c r="M297" s="38"/>
      <c r="N297" s="38"/>
      <c r="O297" s="36"/>
      <c r="P297" s="40"/>
      <c r="Q297" s="40"/>
      <c r="R297" s="42"/>
    </row>
    <row r="298" ht="13.5" customHeight="1" spans="1:18">
      <c r="A298" s="43"/>
      <c r="B298" s="36"/>
      <c r="C298" s="36"/>
      <c r="D298" s="36"/>
      <c r="E298" s="36"/>
      <c r="F298" s="36"/>
      <c r="G298" s="36"/>
      <c r="H298" s="36"/>
      <c r="I298" s="36"/>
      <c r="J298" s="36"/>
      <c r="K298" s="38"/>
      <c r="L298" s="37"/>
      <c r="M298" s="38"/>
      <c r="N298" s="38"/>
      <c r="O298" s="36"/>
      <c r="P298" s="40"/>
      <c r="Q298" s="40"/>
      <c r="R298" s="42"/>
    </row>
    <row r="299" ht="13.5" customHeight="1" spans="1:18">
      <c r="A299" s="43"/>
      <c r="B299" s="36"/>
      <c r="C299" s="36"/>
      <c r="D299" s="36"/>
      <c r="E299" s="36"/>
      <c r="F299" s="36"/>
      <c r="G299" s="36"/>
      <c r="H299" s="36"/>
      <c r="I299" s="36"/>
      <c r="J299" s="36"/>
      <c r="K299" s="38"/>
      <c r="L299" s="37"/>
      <c r="M299" s="38"/>
      <c r="N299" s="38"/>
      <c r="O299" s="36"/>
      <c r="P299" s="40"/>
      <c r="Q299" s="40"/>
      <c r="R299" s="42"/>
    </row>
    <row r="300" ht="13.5" customHeight="1" spans="1:18">
      <c r="A300" s="43"/>
      <c r="B300" s="36"/>
      <c r="C300" s="36"/>
      <c r="D300" s="36"/>
      <c r="E300" s="36"/>
      <c r="F300" s="36"/>
      <c r="G300" s="36"/>
      <c r="H300" s="36"/>
      <c r="I300" s="36"/>
      <c r="J300" s="36"/>
      <c r="K300" s="38"/>
      <c r="L300" s="37"/>
      <c r="M300" s="38"/>
      <c r="N300" s="38"/>
      <c r="O300" s="36"/>
      <c r="P300" s="40"/>
      <c r="Q300" s="40"/>
      <c r="R300" s="42"/>
    </row>
    <row r="301" ht="13.5" customHeight="1" spans="1:18">
      <c r="A301" s="43"/>
      <c r="B301" s="36"/>
      <c r="C301" s="36"/>
      <c r="D301" s="36"/>
      <c r="E301" s="36"/>
      <c r="F301" s="36"/>
      <c r="G301" s="36"/>
      <c r="H301" s="36"/>
      <c r="I301" s="36"/>
      <c r="J301" s="36"/>
      <c r="K301" s="38"/>
      <c r="L301" s="37"/>
      <c r="M301" s="38"/>
      <c r="N301" s="38"/>
      <c r="O301" s="36"/>
      <c r="P301" s="40"/>
      <c r="Q301" s="40"/>
      <c r="R301" s="42"/>
    </row>
    <row r="302" ht="13.5" customHeight="1" spans="1:18">
      <c r="A302" s="43"/>
      <c r="B302" s="36"/>
      <c r="C302" s="36"/>
      <c r="D302" s="36"/>
      <c r="E302" s="36"/>
      <c r="F302" s="36"/>
      <c r="G302" s="36"/>
      <c r="H302" s="36"/>
      <c r="I302" s="36"/>
      <c r="J302" s="36"/>
      <c r="K302" s="38"/>
      <c r="L302" s="37"/>
      <c r="M302" s="38"/>
      <c r="N302" s="38"/>
      <c r="O302" s="36"/>
      <c r="P302" s="40"/>
      <c r="Q302" s="40"/>
      <c r="R302" s="42"/>
    </row>
    <row r="303" ht="13.5" customHeight="1" spans="1:18">
      <c r="A303" s="43"/>
      <c r="B303" s="36"/>
      <c r="C303" s="36"/>
      <c r="D303" s="36"/>
      <c r="E303" s="36"/>
      <c r="F303" s="36"/>
      <c r="G303" s="36"/>
      <c r="H303" s="36"/>
      <c r="I303" s="36"/>
      <c r="J303" s="36"/>
      <c r="K303" s="38"/>
      <c r="L303" s="37"/>
      <c r="M303" s="38"/>
      <c r="N303" s="38"/>
      <c r="O303" s="36"/>
      <c r="P303" s="40"/>
      <c r="Q303" s="40"/>
      <c r="R303" s="42"/>
    </row>
    <row r="304" ht="13.5" customHeight="1" spans="1:18">
      <c r="A304" s="43"/>
      <c r="B304" s="36"/>
      <c r="C304" s="36"/>
      <c r="D304" s="36"/>
      <c r="E304" s="36"/>
      <c r="F304" s="36"/>
      <c r="G304" s="36"/>
      <c r="H304" s="36"/>
      <c r="I304" s="36"/>
      <c r="J304" s="36"/>
      <c r="K304" s="38"/>
      <c r="L304" s="37"/>
      <c r="M304" s="38"/>
      <c r="N304" s="38"/>
      <c r="O304" s="36"/>
      <c r="P304" s="40"/>
      <c r="Q304" s="40"/>
      <c r="R304" s="42"/>
    </row>
    <row r="305" ht="13.5" customHeight="1" spans="1:18">
      <c r="A305" s="43"/>
      <c r="B305" s="36"/>
      <c r="C305" s="36"/>
      <c r="D305" s="36"/>
      <c r="E305" s="36"/>
      <c r="F305" s="36"/>
      <c r="G305" s="36"/>
      <c r="H305" s="36"/>
      <c r="I305" s="36"/>
      <c r="J305" s="36"/>
      <c r="K305" s="38"/>
      <c r="L305" s="37"/>
      <c r="M305" s="38"/>
      <c r="N305" s="38"/>
      <c r="O305" s="36"/>
      <c r="P305" s="40"/>
      <c r="Q305" s="40"/>
      <c r="R305" s="42"/>
    </row>
    <row r="306" ht="13.5" customHeight="1" spans="1:18">
      <c r="A306" s="43"/>
      <c r="B306" s="36"/>
      <c r="C306" s="36"/>
      <c r="D306" s="36"/>
      <c r="E306" s="36"/>
      <c r="F306" s="36"/>
      <c r="G306" s="36"/>
      <c r="H306" s="36"/>
      <c r="I306" s="36"/>
      <c r="J306" s="36"/>
      <c r="K306" s="38"/>
      <c r="L306" s="37"/>
      <c r="M306" s="38"/>
      <c r="N306" s="38"/>
      <c r="O306" s="36"/>
      <c r="P306" s="40"/>
      <c r="Q306" s="40"/>
      <c r="R306" s="42"/>
    </row>
    <row r="307" ht="13.5" customHeight="1" spans="1:18">
      <c r="A307" s="43"/>
      <c r="B307" s="36"/>
      <c r="C307" s="36"/>
      <c r="D307" s="36"/>
      <c r="E307" s="36"/>
      <c r="F307" s="36"/>
      <c r="G307" s="36"/>
      <c r="H307" s="36"/>
      <c r="I307" s="36"/>
      <c r="J307" s="36"/>
      <c r="K307" s="38"/>
      <c r="L307" s="37"/>
      <c r="M307" s="38"/>
      <c r="N307" s="38"/>
      <c r="O307" s="36"/>
      <c r="P307" s="40"/>
      <c r="Q307" s="40"/>
      <c r="R307" s="42"/>
    </row>
    <row r="308" ht="13.5" customHeight="1" spans="1:18">
      <c r="A308" s="43"/>
      <c r="B308" s="36"/>
      <c r="C308" s="36"/>
      <c r="D308" s="36"/>
      <c r="E308" s="36"/>
      <c r="F308" s="36"/>
      <c r="G308" s="36"/>
      <c r="H308" s="36"/>
      <c r="I308" s="36"/>
      <c r="J308" s="36"/>
      <c r="K308" s="38"/>
      <c r="L308" s="37"/>
      <c r="M308" s="38"/>
      <c r="N308" s="38"/>
      <c r="O308" s="36"/>
      <c r="P308" s="40"/>
      <c r="Q308" s="40"/>
      <c r="R308" s="42"/>
    </row>
    <row r="309" ht="13.5" customHeight="1" spans="1:18">
      <c r="A309" s="43"/>
      <c r="B309" s="36"/>
      <c r="C309" s="36"/>
      <c r="D309" s="36"/>
      <c r="E309" s="36"/>
      <c r="F309" s="36"/>
      <c r="G309" s="36"/>
      <c r="H309" s="36"/>
      <c r="I309" s="36"/>
      <c r="J309" s="36"/>
      <c r="K309" s="38"/>
      <c r="L309" s="37"/>
      <c r="M309" s="38"/>
      <c r="N309" s="38"/>
      <c r="O309" s="36"/>
      <c r="P309" s="40"/>
      <c r="Q309" s="40"/>
      <c r="R309" s="42"/>
    </row>
    <row r="310" ht="13.5" customHeight="1" spans="1:18">
      <c r="A310" s="43"/>
      <c r="B310" s="36"/>
      <c r="C310" s="36"/>
      <c r="D310" s="36"/>
      <c r="E310" s="36"/>
      <c r="F310" s="36"/>
      <c r="G310" s="36"/>
      <c r="H310" s="36"/>
      <c r="I310" s="36"/>
      <c r="J310" s="36"/>
      <c r="K310" s="38"/>
      <c r="L310" s="37"/>
      <c r="M310" s="38"/>
      <c r="N310" s="38"/>
      <c r="O310" s="36"/>
      <c r="P310" s="40"/>
      <c r="Q310" s="40"/>
      <c r="R310" s="42"/>
    </row>
    <row r="311" ht="13.5" customHeight="1" spans="1:18">
      <c r="A311" s="43"/>
      <c r="B311" s="36"/>
      <c r="C311" s="36"/>
      <c r="D311" s="36"/>
      <c r="E311" s="36"/>
      <c r="F311" s="36"/>
      <c r="G311" s="36"/>
      <c r="H311" s="36"/>
      <c r="I311" s="36"/>
      <c r="J311" s="36"/>
      <c r="K311" s="38"/>
      <c r="L311" s="37"/>
      <c r="M311" s="38"/>
      <c r="N311" s="38"/>
      <c r="O311" s="36"/>
      <c r="P311" s="40"/>
      <c r="Q311" s="40"/>
      <c r="R311" s="42"/>
    </row>
    <row r="312" ht="13.5" customHeight="1" spans="1:18">
      <c r="A312" s="43"/>
      <c r="B312" s="36"/>
      <c r="C312" s="36"/>
      <c r="D312" s="36"/>
      <c r="E312" s="36"/>
      <c r="F312" s="36"/>
      <c r="G312" s="36"/>
      <c r="H312" s="36"/>
      <c r="I312" s="36"/>
      <c r="J312" s="36"/>
      <c r="K312" s="38"/>
      <c r="L312" s="37"/>
      <c r="M312" s="38"/>
      <c r="N312" s="38"/>
      <c r="O312" s="36"/>
      <c r="P312" s="40"/>
      <c r="Q312" s="40"/>
      <c r="R312" s="42"/>
    </row>
    <row r="313" ht="13.5" customHeight="1" spans="1:18">
      <c r="A313" s="43"/>
      <c r="B313" s="36"/>
      <c r="C313" s="36"/>
      <c r="D313" s="36"/>
      <c r="E313" s="36"/>
      <c r="F313" s="36"/>
      <c r="G313" s="36"/>
      <c r="H313" s="36"/>
      <c r="I313" s="36"/>
      <c r="J313" s="36"/>
      <c r="K313" s="38"/>
      <c r="L313" s="37"/>
      <c r="M313" s="38"/>
      <c r="N313" s="38"/>
      <c r="O313" s="36"/>
      <c r="P313" s="40"/>
      <c r="Q313" s="40"/>
      <c r="R313" s="42"/>
    </row>
    <row r="314" ht="13.5" customHeight="1" spans="1:18">
      <c r="A314" s="43"/>
      <c r="B314" s="36"/>
      <c r="C314" s="36"/>
      <c r="D314" s="36"/>
      <c r="E314" s="36"/>
      <c r="F314" s="36"/>
      <c r="G314" s="36"/>
      <c r="H314" s="36"/>
      <c r="I314" s="36"/>
      <c r="J314" s="36"/>
      <c r="K314" s="38"/>
      <c r="L314" s="37"/>
      <c r="M314" s="38"/>
      <c r="N314" s="38"/>
      <c r="O314" s="36"/>
      <c r="P314" s="40"/>
      <c r="Q314" s="40"/>
      <c r="R314" s="42"/>
    </row>
    <row r="315" ht="13.5" customHeight="1" spans="1:18">
      <c r="A315" s="43"/>
      <c r="B315" s="36"/>
      <c r="C315" s="36"/>
      <c r="D315" s="36"/>
      <c r="E315" s="36"/>
      <c r="F315" s="36"/>
      <c r="G315" s="36"/>
      <c r="H315" s="36"/>
      <c r="I315" s="36"/>
      <c r="J315" s="36"/>
      <c r="K315" s="38"/>
      <c r="L315" s="37"/>
      <c r="M315" s="38"/>
      <c r="N315" s="38"/>
      <c r="O315" s="36"/>
      <c r="P315" s="40"/>
      <c r="Q315" s="40"/>
      <c r="R315" s="42"/>
    </row>
    <row r="316" ht="13.5" customHeight="1" spans="1:18">
      <c r="A316" s="43"/>
      <c r="B316" s="36"/>
      <c r="C316" s="36"/>
      <c r="D316" s="36"/>
      <c r="E316" s="36"/>
      <c r="F316" s="36"/>
      <c r="G316" s="36"/>
      <c r="H316" s="36"/>
      <c r="I316" s="36"/>
      <c r="J316" s="36"/>
      <c r="K316" s="38"/>
      <c r="L316" s="37"/>
      <c r="M316" s="38"/>
      <c r="N316" s="38"/>
      <c r="O316" s="36"/>
      <c r="P316" s="40"/>
      <c r="Q316" s="40"/>
      <c r="R316" s="42"/>
    </row>
    <row r="317" ht="13.5" customHeight="1" spans="1:18">
      <c r="A317" s="43"/>
      <c r="B317" s="36"/>
      <c r="C317" s="36"/>
      <c r="D317" s="36"/>
      <c r="E317" s="36"/>
      <c r="F317" s="36"/>
      <c r="G317" s="36"/>
      <c r="H317" s="36"/>
      <c r="I317" s="36"/>
      <c r="J317" s="36"/>
      <c r="K317" s="38"/>
      <c r="L317" s="37"/>
      <c r="M317" s="38"/>
      <c r="N317" s="38"/>
      <c r="O317" s="36"/>
      <c r="P317" s="40"/>
      <c r="Q317" s="40"/>
      <c r="R317" s="42"/>
    </row>
    <row r="318" ht="13.5" customHeight="1" spans="1:18">
      <c r="A318" s="43"/>
      <c r="B318" s="36"/>
      <c r="C318" s="36"/>
      <c r="D318" s="36"/>
      <c r="E318" s="36"/>
      <c r="F318" s="36"/>
      <c r="G318" s="36"/>
      <c r="H318" s="36"/>
      <c r="I318" s="36"/>
      <c r="J318" s="36"/>
      <c r="K318" s="38"/>
      <c r="L318" s="37"/>
      <c r="M318" s="38"/>
      <c r="N318" s="38"/>
      <c r="O318" s="36"/>
      <c r="P318" s="40"/>
      <c r="Q318" s="40"/>
      <c r="R318" s="42"/>
    </row>
    <row r="319" ht="13.5" customHeight="1" spans="1:18">
      <c r="A319" s="43"/>
      <c r="B319" s="36"/>
      <c r="C319" s="36"/>
      <c r="D319" s="36"/>
      <c r="E319" s="36"/>
      <c r="F319" s="36"/>
      <c r="G319" s="36"/>
      <c r="H319" s="36"/>
      <c r="I319" s="36"/>
      <c r="J319" s="36"/>
      <c r="K319" s="38"/>
      <c r="L319" s="37"/>
      <c r="M319" s="38"/>
      <c r="N319" s="38"/>
      <c r="O319" s="36"/>
      <c r="P319" s="40"/>
      <c r="Q319" s="40"/>
      <c r="R319" s="42"/>
    </row>
    <row r="320" ht="13.5" customHeight="1" spans="1:18">
      <c r="A320" s="43"/>
      <c r="B320" s="36"/>
      <c r="C320" s="36"/>
      <c r="D320" s="36"/>
      <c r="E320" s="36"/>
      <c r="F320" s="36"/>
      <c r="G320" s="36"/>
      <c r="H320" s="36"/>
      <c r="I320" s="36"/>
      <c r="J320" s="36"/>
      <c r="K320" s="38"/>
      <c r="L320" s="37"/>
      <c r="M320" s="38"/>
      <c r="N320" s="38"/>
      <c r="O320" s="36"/>
      <c r="P320" s="40"/>
      <c r="Q320" s="40"/>
      <c r="R320" s="42"/>
    </row>
    <row r="321" ht="13.5" customHeight="1" spans="1:18">
      <c r="A321" s="43"/>
      <c r="B321" s="36"/>
      <c r="C321" s="36"/>
      <c r="D321" s="36"/>
      <c r="E321" s="36"/>
      <c r="F321" s="36"/>
      <c r="G321" s="36"/>
      <c r="H321" s="36"/>
      <c r="I321" s="36"/>
      <c r="J321" s="36"/>
      <c r="K321" s="38"/>
      <c r="L321" s="37"/>
      <c r="M321" s="38"/>
      <c r="N321" s="38"/>
      <c r="O321" s="36"/>
      <c r="P321" s="40"/>
      <c r="Q321" s="40"/>
      <c r="R321" s="42"/>
    </row>
    <row r="322" ht="13.5" customHeight="1" spans="1:18">
      <c r="A322" s="43"/>
      <c r="B322" s="36"/>
      <c r="C322" s="36"/>
      <c r="D322" s="36"/>
      <c r="E322" s="36"/>
      <c r="F322" s="36"/>
      <c r="G322" s="36"/>
      <c r="H322" s="36"/>
      <c r="I322" s="36"/>
      <c r="J322" s="36"/>
      <c r="K322" s="38"/>
      <c r="L322" s="37"/>
      <c r="M322" s="38"/>
      <c r="N322" s="38"/>
      <c r="O322" s="36"/>
      <c r="P322" s="40"/>
      <c r="Q322" s="40"/>
      <c r="R322" s="42"/>
    </row>
    <row r="323" ht="13.5" customHeight="1" spans="1:18">
      <c r="A323" s="43"/>
      <c r="B323" s="36"/>
      <c r="C323" s="36"/>
      <c r="D323" s="36"/>
      <c r="E323" s="36"/>
      <c r="F323" s="36"/>
      <c r="G323" s="36"/>
      <c r="H323" s="36"/>
      <c r="I323" s="36"/>
      <c r="J323" s="36"/>
      <c r="K323" s="38"/>
      <c r="L323" s="37"/>
      <c r="M323" s="38"/>
      <c r="N323" s="38"/>
      <c r="O323" s="36"/>
      <c r="P323" s="40"/>
      <c r="Q323" s="40"/>
      <c r="R323" s="42"/>
    </row>
    <row r="324" ht="13.5" customHeight="1" spans="1:18">
      <c r="A324" s="43"/>
      <c r="B324" s="36"/>
      <c r="C324" s="36"/>
      <c r="D324" s="36"/>
      <c r="E324" s="36"/>
      <c r="F324" s="36"/>
      <c r="G324" s="36"/>
      <c r="H324" s="36"/>
      <c r="I324" s="36"/>
      <c r="J324" s="36"/>
      <c r="K324" s="38"/>
      <c r="L324" s="37"/>
      <c r="M324" s="38"/>
      <c r="N324" s="38"/>
      <c r="O324" s="36"/>
      <c r="P324" s="40"/>
      <c r="Q324" s="40"/>
      <c r="R324" s="42"/>
    </row>
    <row r="325" ht="13.5" customHeight="1" spans="1:18">
      <c r="A325" s="43"/>
      <c r="B325" s="36"/>
      <c r="C325" s="36"/>
      <c r="D325" s="36"/>
      <c r="E325" s="36"/>
      <c r="F325" s="36"/>
      <c r="G325" s="36"/>
      <c r="H325" s="36"/>
      <c r="I325" s="36"/>
      <c r="J325" s="36"/>
      <c r="K325" s="38"/>
      <c r="L325" s="37"/>
      <c r="M325" s="38"/>
      <c r="N325" s="38"/>
      <c r="O325" s="36"/>
      <c r="P325" s="40"/>
      <c r="Q325" s="40"/>
      <c r="R325" s="42"/>
    </row>
    <row r="326" ht="13.5" customHeight="1" spans="1:18">
      <c r="A326" s="43"/>
      <c r="B326" s="36"/>
      <c r="C326" s="36"/>
      <c r="D326" s="36"/>
      <c r="E326" s="36"/>
      <c r="F326" s="36"/>
      <c r="G326" s="36"/>
      <c r="H326" s="36"/>
      <c r="I326" s="36"/>
      <c r="J326" s="36"/>
      <c r="K326" s="38"/>
      <c r="L326" s="37"/>
      <c r="M326" s="38"/>
      <c r="N326" s="38"/>
      <c r="O326" s="36"/>
      <c r="P326" s="40"/>
      <c r="Q326" s="40"/>
      <c r="R326" s="42"/>
    </row>
    <row r="327" ht="13.5" customHeight="1" spans="1:18">
      <c r="A327" s="43"/>
      <c r="B327" s="36"/>
      <c r="C327" s="36"/>
      <c r="D327" s="36"/>
      <c r="E327" s="36"/>
      <c r="F327" s="36"/>
      <c r="G327" s="36"/>
      <c r="H327" s="36"/>
      <c r="I327" s="36"/>
      <c r="J327" s="36"/>
      <c r="K327" s="38"/>
      <c r="L327" s="37"/>
      <c r="M327" s="38"/>
      <c r="N327" s="38"/>
      <c r="O327" s="36"/>
      <c r="P327" s="40"/>
      <c r="Q327" s="40"/>
      <c r="R327" s="42"/>
    </row>
    <row r="328" ht="13.5" customHeight="1" spans="1:18">
      <c r="A328" s="43"/>
      <c r="B328" s="36"/>
      <c r="C328" s="36"/>
      <c r="D328" s="36"/>
      <c r="E328" s="36"/>
      <c r="F328" s="36"/>
      <c r="G328" s="36"/>
      <c r="H328" s="36"/>
      <c r="I328" s="36"/>
      <c r="J328" s="36"/>
      <c r="K328" s="38"/>
      <c r="L328" s="37"/>
      <c r="M328" s="38"/>
      <c r="N328" s="38"/>
      <c r="O328" s="36"/>
      <c r="P328" s="40"/>
      <c r="Q328" s="40"/>
      <c r="R328" s="42"/>
    </row>
    <row r="329" ht="13.5" customHeight="1" spans="1:18">
      <c r="A329" s="43"/>
      <c r="B329" s="36"/>
      <c r="C329" s="36"/>
      <c r="D329" s="36"/>
      <c r="E329" s="36"/>
      <c r="F329" s="36"/>
      <c r="G329" s="36"/>
      <c r="H329" s="36"/>
      <c r="I329" s="36"/>
      <c r="J329" s="36"/>
      <c r="K329" s="38"/>
      <c r="L329" s="37"/>
      <c r="M329" s="38"/>
      <c r="N329" s="38"/>
      <c r="O329" s="36"/>
      <c r="P329" s="40"/>
      <c r="Q329" s="40"/>
      <c r="R329" s="42"/>
    </row>
    <row r="330" ht="13.5" customHeight="1" spans="1:18">
      <c r="A330" s="43"/>
      <c r="B330" s="36"/>
      <c r="C330" s="36"/>
      <c r="D330" s="36"/>
      <c r="E330" s="36"/>
      <c r="F330" s="36"/>
      <c r="G330" s="36"/>
      <c r="H330" s="36"/>
      <c r="I330" s="36"/>
      <c r="J330" s="36"/>
      <c r="K330" s="38"/>
      <c r="L330" s="37"/>
      <c r="M330" s="38"/>
      <c r="N330" s="38"/>
      <c r="O330" s="36"/>
      <c r="P330" s="40"/>
      <c r="Q330" s="40"/>
      <c r="R330" s="42"/>
    </row>
    <row r="331" ht="13.5" customHeight="1" spans="1:18">
      <c r="A331" s="43"/>
      <c r="B331" s="36"/>
      <c r="C331" s="36"/>
      <c r="D331" s="36"/>
      <c r="E331" s="36"/>
      <c r="F331" s="36"/>
      <c r="G331" s="36"/>
      <c r="H331" s="36"/>
      <c r="I331" s="36"/>
      <c r="J331" s="36"/>
      <c r="K331" s="38"/>
      <c r="L331" s="37"/>
      <c r="M331" s="38"/>
      <c r="N331" s="38"/>
      <c r="O331" s="36"/>
      <c r="P331" s="40"/>
      <c r="Q331" s="40"/>
      <c r="R331" s="42"/>
    </row>
    <row r="332" ht="13.5" customHeight="1" spans="1:18">
      <c r="A332" s="43"/>
      <c r="B332" s="36"/>
      <c r="C332" s="36"/>
      <c r="D332" s="36"/>
      <c r="E332" s="36"/>
      <c r="F332" s="36"/>
      <c r="G332" s="36"/>
      <c r="H332" s="36"/>
      <c r="I332" s="36"/>
      <c r="J332" s="36"/>
      <c r="K332" s="38"/>
      <c r="L332" s="37"/>
      <c r="M332" s="38"/>
      <c r="N332" s="38"/>
      <c r="O332" s="36"/>
      <c r="P332" s="40"/>
      <c r="Q332" s="40"/>
      <c r="R332" s="42"/>
    </row>
    <row r="333" ht="13.5" customHeight="1" spans="1:18">
      <c r="A333" s="43"/>
      <c r="B333" s="36"/>
      <c r="C333" s="36"/>
      <c r="D333" s="36"/>
      <c r="E333" s="36"/>
      <c r="F333" s="36"/>
      <c r="G333" s="36"/>
      <c r="H333" s="36"/>
      <c r="I333" s="36"/>
      <c r="J333" s="36"/>
      <c r="K333" s="38"/>
      <c r="L333" s="37"/>
      <c r="M333" s="38"/>
      <c r="N333" s="38"/>
      <c r="O333" s="36"/>
      <c r="P333" s="40"/>
      <c r="Q333" s="40"/>
      <c r="R333" s="42"/>
    </row>
    <row r="334" ht="13.5" customHeight="1" spans="1:18">
      <c r="A334" s="43"/>
      <c r="B334" s="36"/>
      <c r="C334" s="36"/>
      <c r="D334" s="36"/>
      <c r="E334" s="36"/>
      <c r="F334" s="36"/>
      <c r="G334" s="36"/>
      <c r="H334" s="36"/>
      <c r="I334" s="36"/>
      <c r="J334" s="36"/>
      <c r="K334" s="38"/>
      <c r="L334" s="37"/>
      <c r="M334" s="38"/>
      <c r="N334" s="38"/>
      <c r="O334" s="36"/>
      <c r="P334" s="40"/>
      <c r="Q334" s="40"/>
      <c r="R334" s="42"/>
    </row>
    <row r="335" ht="13.5" customHeight="1" spans="1:18">
      <c r="A335" s="43"/>
      <c r="B335" s="36"/>
      <c r="C335" s="36"/>
      <c r="D335" s="36"/>
      <c r="E335" s="36"/>
      <c r="F335" s="36"/>
      <c r="G335" s="36"/>
      <c r="H335" s="36"/>
      <c r="I335" s="36"/>
      <c r="J335" s="36"/>
      <c r="K335" s="38"/>
      <c r="L335" s="37"/>
      <c r="M335" s="38"/>
      <c r="N335" s="38"/>
      <c r="O335" s="36"/>
      <c r="P335" s="40"/>
      <c r="Q335" s="40"/>
      <c r="R335" s="42"/>
    </row>
    <row r="336" ht="13.5" customHeight="1" spans="1:18">
      <c r="A336" s="43"/>
      <c r="B336" s="36"/>
      <c r="C336" s="36"/>
      <c r="D336" s="36"/>
      <c r="E336" s="36"/>
      <c r="F336" s="36"/>
      <c r="G336" s="36"/>
      <c r="H336" s="36"/>
      <c r="I336" s="36"/>
      <c r="J336" s="36"/>
      <c r="K336" s="38"/>
      <c r="L336" s="37"/>
      <c r="M336" s="38"/>
      <c r="N336" s="38"/>
      <c r="O336" s="36"/>
      <c r="P336" s="40"/>
      <c r="Q336" s="40"/>
      <c r="R336" s="42"/>
    </row>
    <row r="337" ht="13.5" customHeight="1" spans="1:18">
      <c r="A337" s="43"/>
      <c r="B337" s="36"/>
      <c r="C337" s="36"/>
      <c r="D337" s="36"/>
      <c r="E337" s="36"/>
      <c r="F337" s="36"/>
      <c r="G337" s="36"/>
      <c r="H337" s="36"/>
      <c r="I337" s="36"/>
      <c r="J337" s="36"/>
      <c r="K337" s="38"/>
      <c r="L337" s="37"/>
      <c r="M337" s="38"/>
      <c r="N337" s="38"/>
      <c r="O337" s="36"/>
      <c r="P337" s="40"/>
      <c r="Q337" s="40"/>
      <c r="R337" s="42"/>
    </row>
    <row r="338" ht="13.5" customHeight="1" spans="1:18">
      <c r="A338" s="43"/>
      <c r="B338" s="36"/>
      <c r="C338" s="36"/>
      <c r="D338" s="36"/>
      <c r="E338" s="36"/>
      <c r="F338" s="36"/>
      <c r="G338" s="36"/>
      <c r="H338" s="36"/>
      <c r="I338" s="36"/>
      <c r="J338" s="36"/>
      <c r="K338" s="38"/>
      <c r="L338" s="37"/>
      <c r="M338" s="38"/>
      <c r="N338" s="38"/>
      <c r="O338" s="36"/>
      <c r="P338" s="40"/>
      <c r="Q338" s="40"/>
      <c r="R338" s="42"/>
    </row>
    <row r="339" ht="13.5" customHeight="1" spans="1:18">
      <c r="A339" s="43"/>
      <c r="B339" s="36"/>
      <c r="C339" s="36"/>
      <c r="D339" s="36"/>
      <c r="E339" s="36"/>
      <c r="F339" s="36"/>
      <c r="G339" s="36"/>
      <c r="H339" s="36"/>
      <c r="I339" s="36"/>
      <c r="J339" s="36"/>
      <c r="K339" s="38"/>
      <c r="L339" s="37"/>
      <c r="M339" s="38"/>
      <c r="N339" s="38"/>
      <c r="O339" s="36"/>
      <c r="P339" s="40"/>
      <c r="Q339" s="40"/>
      <c r="R339" s="42"/>
    </row>
    <row r="340" ht="13.5" customHeight="1" spans="1:18">
      <c r="A340" s="43"/>
      <c r="B340" s="36"/>
      <c r="C340" s="36"/>
      <c r="D340" s="36"/>
      <c r="E340" s="36"/>
      <c r="F340" s="36"/>
      <c r="G340" s="36"/>
      <c r="H340" s="36"/>
      <c r="I340" s="36"/>
      <c r="J340" s="36"/>
      <c r="K340" s="38"/>
      <c r="L340" s="37"/>
      <c r="M340" s="38"/>
      <c r="N340" s="38"/>
      <c r="O340" s="36"/>
      <c r="P340" s="40"/>
      <c r="Q340" s="40"/>
      <c r="R340" s="42"/>
    </row>
    <row r="341" ht="13.5" customHeight="1" spans="1:18">
      <c r="A341" s="43"/>
      <c r="B341" s="36"/>
      <c r="C341" s="36"/>
      <c r="D341" s="36"/>
      <c r="E341" s="36"/>
      <c r="F341" s="36"/>
      <c r="G341" s="36"/>
      <c r="H341" s="36"/>
      <c r="I341" s="36"/>
      <c r="J341" s="36"/>
      <c r="K341" s="38"/>
      <c r="L341" s="37"/>
      <c r="M341" s="38"/>
      <c r="N341" s="38"/>
      <c r="O341" s="36"/>
      <c r="P341" s="40"/>
      <c r="Q341" s="40"/>
      <c r="R341" s="42"/>
    </row>
    <row r="342" ht="13.5" customHeight="1" spans="1:18">
      <c r="A342" s="43"/>
      <c r="B342" s="36"/>
      <c r="C342" s="36"/>
      <c r="D342" s="36"/>
      <c r="E342" s="36"/>
      <c r="F342" s="36"/>
      <c r="G342" s="36"/>
      <c r="H342" s="36"/>
      <c r="I342" s="36"/>
      <c r="J342" s="36"/>
      <c r="K342" s="38"/>
      <c r="L342" s="37"/>
      <c r="M342" s="38"/>
      <c r="N342" s="38"/>
      <c r="O342" s="36"/>
      <c r="P342" s="40"/>
      <c r="Q342" s="40"/>
      <c r="R342" s="42"/>
    </row>
    <row r="343" ht="13.5" customHeight="1" spans="1:18">
      <c r="A343" s="43"/>
      <c r="B343" s="36"/>
      <c r="C343" s="36"/>
      <c r="D343" s="36"/>
      <c r="E343" s="36"/>
      <c r="F343" s="36"/>
      <c r="G343" s="36"/>
      <c r="H343" s="36"/>
      <c r="I343" s="36"/>
      <c r="J343" s="36"/>
      <c r="K343" s="38"/>
      <c r="L343" s="37"/>
      <c r="M343" s="38"/>
      <c r="N343" s="38"/>
      <c r="O343" s="36"/>
      <c r="P343" s="40"/>
      <c r="Q343" s="40"/>
      <c r="R343" s="42"/>
    </row>
    <row r="344" ht="13.5" customHeight="1" spans="1:18">
      <c r="A344" s="43"/>
      <c r="B344" s="36"/>
      <c r="C344" s="36"/>
      <c r="D344" s="36"/>
      <c r="E344" s="36"/>
      <c r="F344" s="36"/>
      <c r="G344" s="36"/>
      <c r="H344" s="36"/>
      <c r="I344" s="36"/>
      <c r="J344" s="36"/>
      <c r="K344" s="38"/>
      <c r="L344" s="37"/>
      <c r="M344" s="38"/>
      <c r="N344" s="38"/>
      <c r="O344" s="36"/>
      <c r="P344" s="40"/>
      <c r="Q344" s="40"/>
      <c r="R344" s="42"/>
    </row>
    <row r="345" ht="13.5" customHeight="1" spans="1:18">
      <c r="A345" s="43"/>
      <c r="B345" s="36"/>
      <c r="C345" s="36"/>
      <c r="D345" s="36"/>
      <c r="E345" s="36"/>
      <c r="F345" s="36"/>
      <c r="G345" s="36"/>
      <c r="H345" s="36"/>
      <c r="I345" s="36"/>
      <c r="J345" s="36"/>
      <c r="K345" s="38"/>
      <c r="L345" s="37"/>
      <c r="M345" s="38"/>
      <c r="N345" s="38"/>
      <c r="O345" s="36"/>
      <c r="P345" s="40"/>
      <c r="Q345" s="40"/>
      <c r="R345" s="42"/>
    </row>
    <row r="346" ht="13.5" customHeight="1" spans="1:18">
      <c r="A346" s="43"/>
      <c r="B346" s="36"/>
      <c r="C346" s="36"/>
      <c r="D346" s="36"/>
      <c r="E346" s="36"/>
      <c r="F346" s="36"/>
      <c r="G346" s="36"/>
      <c r="H346" s="36"/>
      <c r="I346" s="36"/>
      <c r="J346" s="36"/>
      <c r="K346" s="38"/>
      <c r="L346" s="37"/>
      <c r="M346" s="38"/>
      <c r="N346" s="38"/>
      <c r="O346" s="36"/>
      <c r="P346" s="40"/>
      <c r="Q346" s="40"/>
      <c r="R346" s="42"/>
    </row>
    <row r="347" ht="13.5" customHeight="1" spans="1:18">
      <c r="A347" s="43"/>
      <c r="B347" s="36"/>
      <c r="C347" s="36"/>
      <c r="D347" s="36"/>
      <c r="E347" s="36"/>
      <c r="F347" s="36"/>
      <c r="G347" s="36"/>
      <c r="H347" s="36"/>
      <c r="I347" s="36"/>
      <c r="J347" s="36"/>
      <c r="K347" s="38"/>
      <c r="L347" s="37"/>
      <c r="M347" s="38"/>
      <c r="N347" s="38"/>
      <c r="O347" s="36"/>
      <c r="P347" s="40"/>
      <c r="Q347" s="40"/>
      <c r="R347" s="42"/>
    </row>
    <row r="348" ht="13.5" customHeight="1" spans="1:18">
      <c r="A348" s="43"/>
      <c r="B348" s="36"/>
      <c r="C348" s="36"/>
      <c r="D348" s="36"/>
      <c r="E348" s="36"/>
      <c r="F348" s="36"/>
      <c r="G348" s="36"/>
      <c r="H348" s="36"/>
      <c r="I348" s="36"/>
      <c r="J348" s="36"/>
      <c r="K348" s="38"/>
      <c r="L348" s="37"/>
      <c r="M348" s="38"/>
      <c r="N348" s="38"/>
      <c r="O348" s="36"/>
      <c r="P348" s="40"/>
      <c r="Q348" s="40"/>
      <c r="R348" s="42"/>
    </row>
    <row r="349" ht="13.5" customHeight="1" spans="1:18">
      <c r="A349" s="43"/>
      <c r="B349" s="36"/>
      <c r="C349" s="36"/>
      <c r="D349" s="36"/>
      <c r="E349" s="36"/>
      <c r="F349" s="36"/>
      <c r="G349" s="36"/>
      <c r="H349" s="36"/>
      <c r="I349" s="36"/>
      <c r="J349" s="36"/>
      <c r="K349" s="38"/>
      <c r="L349" s="37"/>
      <c r="M349" s="38"/>
      <c r="N349" s="38"/>
      <c r="O349" s="36"/>
      <c r="P349" s="40"/>
      <c r="Q349" s="40"/>
      <c r="R349" s="42"/>
    </row>
    <row r="350" ht="13.5" customHeight="1" spans="1:18">
      <c r="A350" s="43"/>
      <c r="B350" s="36"/>
      <c r="C350" s="36"/>
      <c r="D350" s="36"/>
      <c r="E350" s="36"/>
      <c r="F350" s="36"/>
      <c r="G350" s="36"/>
      <c r="H350" s="36"/>
      <c r="I350" s="36"/>
      <c r="J350" s="36"/>
      <c r="K350" s="38"/>
      <c r="L350" s="37"/>
      <c r="M350" s="38"/>
      <c r="N350" s="38"/>
      <c r="O350" s="36"/>
      <c r="P350" s="40"/>
      <c r="Q350" s="40"/>
      <c r="R350" s="42"/>
    </row>
    <row r="351" ht="13.5" customHeight="1" spans="1:18">
      <c r="A351" s="43"/>
      <c r="B351" s="36"/>
      <c r="C351" s="36"/>
      <c r="D351" s="36"/>
      <c r="E351" s="36"/>
      <c r="F351" s="36"/>
      <c r="G351" s="36"/>
      <c r="H351" s="36"/>
      <c r="I351" s="36"/>
      <c r="J351" s="36"/>
      <c r="K351" s="38"/>
      <c r="L351" s="37"/>
      <c r="M351" s="38"/>
      <c r="N351" s="38"/>
      <c r="O351" s="36"/>
      <c r="P351" s="40"/>
      <c r="Q351" s="40"/>
      <c r="R351" s="42"/>
    </row>
    <row r="352" ht="13.5" customHeight="1" spans="1:18">
      <c r="A352" s="43"/>
      <c r="B352" s="36"/>
      <c r="C352" s="36"/>
      <c r="D352" s="36"/>
      <c r="E352" s="36"/>
      <c r="F352" s="36"/>
      <c r="G352" s="36"/>
      <c r="H352" s="36"/>
      <c r="I352" s="36"/>
      <c r="J352" s="36"/>
      <c r="K352" s="38"/>
      <c r="L352" s="37"/>
      <c r="M352" s="38"/>
      <c r="N352" s="38"/>
      <c r="O352" s="36"/>
      <c r="P352" s="40"/>
      <c r="Q352" s="40"/>
      <c r="R352" s="42"/>
    </row>
    <row r="353" ht="13.5" customHeight="1" spans="1:18">
      <c r="A353" s="43"/>
      <c r="B353" s="36"/>
      <c r="C353" s="36"/>
      <c r="D353" s="36"/>
      <c r="E353" s="36"/>
      <c r="F353" s="36"/>
      <c r="G353" s="36"/>
      <c r="H353" s="36"/>
      <c r="I353" s="36"/>
      <c r="J353" s="36"/>
      <c r="K353" s="38"/>
      <c r="L353" s="37"/>
      <c r="M353" s="38"/>
      <c r="N353" s="38"/>
      <c r="O353" s="36"/>
      <c r="P353" s="40"/>
      <c r="Q353" s="40"/>
      <c r="R353" s="42"/>
    </row>
    <row r="354" ht="13.5" customHeight="1" spans="1:18">
      <c r="A354" s="43"/>
      <c r="B354" s="36"/>
      <c r="C354" s="36"/>
      <c r="D354" s="36"/>
      <c r="E354" s="36"/>
      <c r="F354" s="36"/>
      <c r="G354" s="36"/>
      <c r="H354" s="36"/>
      <c r="I354" s="36"/>
      <c r="J354" s="36"/>
      <c r="K354" s="38"/>
      <c r="L354" s="37"/>
      <c r="M354" s="38"/>
      <c r="N354" s="38"/>
      <c r="O354" s="36"/>
      <c r="P354" s="40"/>
      <c r="Q354" s="40"/>
      <c r="R354" s="42"/>
    </row>
    <row r="355" ht="13.5" customHeight="1" spans="1:18">
      <c r="A355" s="43"/>
      <c r="B355" s="36"/>
      <c r="C355" s="36"/>
      <c r="D355" s="36"/>
      <c r="E355" s="36"/>
      <c r="F355" s="36"/>
      <c r="G355" s="36"/>
      <c r="H355" s="36"/>
      <c r="I355" s="36"/>
      <c r="J355" s="36"/>
      <c r="K355" s="38"/>
      <c r="L355" s="37"/>
      <c r="M355" s="38"/>
      <c r="N355" s="38"/>
      <c r="O355" s="36"/>
      <c r="P355" s="40"/>
      <c r="Q355" s="40"/>
      <c r="R355" s="42"/>
    </row>
    <row r="356" ht="13.5" customHeight="1" spans="1:18">
      <c r="A356" s="43"/>
      <c r="B356" s="36"/>
      <c r="C356" s="36"/>
      <c r="D356" s="36"/>
      <c r="E356" s="36"/>
      <c r="F356" s="36"/>
      <c r="G356" s="36"/>
      <c r="H356" s="36"/>
      <c r="I356" s="36"/>
      <c r="J356" s="36"/>
      <c r="K356" s="38"/>
      <c r="L356" s="37"/>
      <c r="M356" s="38"/>
      <c r="N356" s="38"/>
      <c r="O356" s="36"/>
      <c r="P356" s="40"/>
      <c r="Q356" s="40"/>
      <c r="R356" s="42"/>
    </row>
    <row r="357" ht="13.5" customHeight="1" spans="1:18">
      <c r="A357" s="43"/>
      <c r="B357" s="36"/>
      <c r="C357" s="36"/>
      <c r="D357" s="36"/>
      <c r="E357" s="36"/>
      <c r="F357" s="36"/>
      <c r="G357" s="36"/>
      <c r="H357" s="36"/>
      <c r="I357" s="36"/>
      <c r="J357" s="36"/>
      <c r="K357" s="38"/>
      <c r="L357" s="37"/>
      <c r="M357" s="38"/>
      <c r="N357" s="38"/>
      <c r="O357" s="36"/>
      <c r="P357" s="40"/>
      <c r="Q357" s="40"/>
      <c r="R357" s="42"/>
    </row>
    <row r="358" ht="13.5" customHeight="1" spans="1:18">
      <c r="A358" s="43"/>
      <c r="B358" s="36"/>
      <c r="C358" s="36"/>
      <c r="D358" s="36"/>
      <c r="E358" s="36"/>
      <c r="F358" s="36"/>
      <c r="G358" s="36"/>
      <c r="H358" s="36"/>
      <c r="I358" s="36"/>
      <c r="J358" s="36"/>
      <c r="K358" s="38"/>
      <c r="L358" s="37"/>
      <c r="M358" s="38"/>
      <c r="N358" s="38"/>
      <c r="O358" s="36"/>
      <c r="P358" s="40"/>
      <c r="Q358" s="40"/>
      <c r="R358" s="42"/>
    </row>
    <row r="359" ht="13.5" customHeight="1" spans="1:18">
      <c r="A359" s="43"/>
      <c r="B359" s="36"/>
      <c r="C359" s="36"/>
      <c r="D359" s="36"/>
      <c r="E359" s="36"/>
      <c r="F359" s="36"/>
      <c r="G359" s="36"/>
      <c r="H359" s="36"/>
      <c r="I359" s="36"/>
      <c r="J359" s="36"/>
      <c r="K359" s="38"/>
      <c r="L359" s="37"/>
      <c r="M359" s="38"/>
      <c r="N359" s="38"/>
      <c r="O359" s="36"/>
      <c r="P359" s="40"/>
      <c r="Q359" s="40"/>
      <c r="R359" s="42"/>
    </row>
    <row r="360" ht="13.5" customHeight="1" spans="1:18">
      <c r="A360" s="43"/>
      <c r="B360" s="36"/>
      <c r="C360" s="36"/>
      <c r="D360" s="36"/>
      <c r="E360" s="36"/>
      <c r="F360" s="36"/>
      <c r="G360" s="36"/>
      <c r="H360" s="36"/>
      <c r="I360" s="36"/>
      <c r="J360" s="36"/>
      <c r="K360" s="38"/>
      <c r="L360" s="37"/>
      <c r="M360" s="38"/>
      <c r="N360" s="38"/>
      <c r="O360" s="36"/>
      <c r="P360" s="40"/>
      <c r="Q360" s="40"/>
      <c r="R360" s="42"/>
    </row>
    <row r="361" ht="13.5" customHeight="1" spans="1:18">
      <c r="A361" s="43"/>
      <c r="B361" s="36"/>
      <c r="C361" s="36"/>
      <c r="D361" s="36"/>
      <c r="E361" s="36"/>
      <c r="F361" s="36"/>
      <c r="G361" s="36"/>
      <c r="H361" s="36"/>
      <c r="I361" s="36"/>
      <c r="J361" s="36"/>
      <c r="K361" s="38"/>
      <c r="L361" s="37"/>
      <c r="M361" s="38"/>
      <c r="N361" s="38"/>
      <c r="O361" s="36"/>
      <c r="P361" s="40"/>
      <c r="Q361" s="40"/>
      <c r="R361" s="42"/>
    </row>
    <row r="362" ht="13.5" customHeight="1" spans="1:18">
      <c r="A362" s="43"/>
      <c r="B362" s="36"/>
      <c r="C362" s="36"/>
      <c r="D362" s="36"/>
      <c r="E362" s="36"/>
      <c r="F362" s="36"/>
      <c r="G362" s="36"/>
      <c r="H362" s="36"/>
      <c r="I362" s="36"/>
      <c r="J362" s="36"/>
      <c r="K362" s="38"/>
      <c r="L362" s="37"/>
      <c r="M362" s="38"/>
      <c r="N362" s="38"/>
      <c r="O362" s="36"/>
      <c r="P362" s="40"/>
      <c r="Q362" s="40"/>
      <c r="R362" s="42"/>
    </row>
    <row r="363" ht="13.5" customHeight="1" spans="1:18">
      <c r="A363" s="43"/>
      <c r="B363" s="36"/>
      <c r="C363" s="36"/>
      <c r="D363" s="36"/>
      <c r="E363" s="36"/>
      <c r="F363" s="36"/>
      <c r="G363" s="36"/>
      <c r="H363" s="36"/>
      <c r="I363" s="36"/>
      <c r="J363" s="36"/>
      <c r="K363" s="38"/>
      <c r="L363" s="37"/>
      <c r="M363" s="38"/>
      <c r="N363" s="38"/>
      <c r="O363" s="36"/>
      <c r="P363" s="40"/>
      <c r="Q363" s="40"/>
      <c r="R363" s="42"/>
    </row>
    <row r="364" ht="13.5" customHeight="1" spans="1:18">
      <c r="A364" s="43"/>
      <c r="B364" s="36"/>
      <c r="C364" s="36"/>
      <c r="D364" s="36"/>
      <c r="E364" s="36"/>
      <c r="F364" s="36"/>
      <c r="G364" s="36"/>
      <c r="H364" s="36"/>
      <c r="I364" s="36"/>
      <c r="J364" s="36"/>
      <c r="K364" s="38"/>
      <c r="L364" s="37"/>
      <c r="M364" s="38"/>
      <c r="N364" s="38"/>
      <c r="O364" s="36"/>
      <c r="P364" s="40"/>
      <c r="Q364" s="40"/>
      <c r="R364" s="42"/>
    </row>
    <row r="365" ht="13.5" customHeight="1" spans="1:18">
      <c r="A365" s="43"/>
      <c r="B365" s="36"/>
      <c r="C365" s="36"/>
      <c r="D365" s="36"/>
      <c r="E365" s="36"/>
      <c r="F365" s="36"/>
      <c r="G365" s="36"/>
      <c r="H365" s="36"/>
      <c r="I365" s="36"/>
      <c r="J365" s="36"/>
      <c r="K365" s="38"/>
      <c r="L365" s="37"/>
      <c r="M365" s="38"/>
      <c r="N365" s="38"/>
      <c r="O365" s="36"/>
      <c r="P365" s="40"/>
      <c r="Q365" s="40"/>
      <c r="R365" s="42"/>
    </row>
    <row r="366" ht="13.5" customHeight="1" spans="1:18">
      <c r="A366" s="43"/>
      <c r="B366" s="36"/>
      <c r="C366" s="36"/>
      <c r="D366" s="36"/>
      <c r="E366" s="36"/>
      <c r="F366" s="36"/>
      <c r="G366" s="36"/>
      <c r="H366" s="36"/>
      <c r="I366" s="36"/>
      <c r="J366" s="36"/>
      <c r="K366" s="38"/>
      <c r="L366" s="37"/>
      <c r="M366" s="38"/>
      <c r="N366" s="38"/>
      <c r="O366" s="36"/>
      <c r="P366" s="40"/>
      <c r="Q366" s="40"/>
      <c r="R366" s="42"/>
    </row>
    <row r="367" ht="13.5" customHeight="1" spans="1:18">
      <c r="A367" s="43"/>
      <c r="B367" s="36"/>
      <c r="C367" s="36"/>
      <c r="D367" s="36"/>
      <c r="E367" s="36"/>
      <c r="F367" s="36"/>
      <c r="G367" s="36"/>
      <c r="H367" s="36"/>
      <c r="I367" s="36"/>
      <c r="J367" s="36"/>
      <c r="K367" s="38"/>
      <c r="L367" s="37"/>
      <c r="M367" s="38"/>
      <c r="N367" s="38"/>
      <c r="O367" s="36"/>
      <c r="P367" s="40"/>
      <c r="Q367" s="40"/>
      <c r="R367" s="42"/>
    </row>
    <row r="368" ht="13.5" customHeight="1" spans="1:18">
      <c r="A368" s="43"/>
      <c r="B368" s="36"/>
      <c r="C368" s="36"/>
      <c r="D368" s="36"/>
      <c r="E368" s="36"/>
      <c r="F368" s="36"/>
      <c r="G368" s="36"/>
      <c r="H368" s="36"/>
      <c r="I368" s="36"/>
      <c r="J368" s="36"/>
      <c r="K368" s="38"/>
      <c r="L368" s="37"/>
      <c r="M368" s="38"/>
      <c r="N368" s="38"/>
      <c r="O368" s="36"/>
      <c r="P368" s="40"/>
      <c r="Q368" s="40"/>
      <c r="R368" s="42"/>
    </row>
    <row r="369" ht="13.5" customHeight="1" spans="1:18">
      <c r="A369" s="43"/>
      <c r="B369" s="36"/>
      <c r="C369" s="36"/>
      <c r="D369" s="36"/>
      <c r="E369" s="36"/>
      <c r="F369" s="36"/>
      <c r="G369" s="36"/>
      <c r="H369" s="36"/>
      <c r="I369" s="36"/>
      <c r="J369" s="36"/>
      <c r="K369" s="38"/>
      <c r="L369" s="37"/>
      <c r="M369" s="38"/>
      <c r="N369" s="38"/>
      <c r="O369" s="36"/>
      <c r="P369" s="40"/>
      <c r="Q369" s="40"/>
      <c r="R369" s="42"/>
    </row>
    <row r="370" ht="13.5" customHeight="1" spans="1:18">
      <c r="A370" s="43"/>
      <c r="B370" s="36"/>
      <c r="C370" s="36"/>
      <c r="D370" s="36"/>
      <c r="E370" s="36"/>
      <c r="F370" s="36"/>
      <c r="G370" s="36"/>
      <c r="H370" s="36"/>
      <c r="I370" s="36"/>
      <c r="J370" s="36"/>
      <c r="K370" s="38"/>
      <c r="L370" s="37"/>
      <c r="M370" s="38"/>
      <c r="N370" s="38"/>
      <c r="O370" s="36"/>
      <c r="P370" s="40"/>
      <c r="Q370" s="40"/>
      <c r="R370" s="42"/>
    </row>
    <row r="371" ht="13.5" customHeight="1" spans="1:18">
      <c r="A371" s="43"/>
      <c r="B371" s="36"/>
      <c r="C371" s="36"/>
      <c r="D371" s="36"/>
      <c r="E371" s="36"/>
      <c r="F371" s="36"/>
      <c r="G371" s="36"/>
      <c r="H371" s="36"/>
      <c r="I371" s="36"/>
      <c r="J371" s="36"/>
      <c r="K371" s="38"/>
      <c r="L371" s="37"/>
      <c r="M371" s="38"/>
      <c r="N371" s="38"/>
      <c r="O371" s="36"/>
      <c r="P371" s="40"/>
      <c r="Q371" s="40"/>
      <c r="R371" s="42"/>
    </row>
    <row r="372" ht="13.5" customHeight="1" spans="1:18">
      <c r="A372" s="43"/>
      <c r="B372" s="36"/>
      <c r="C372" s="36"/>
      <c r="D372" s="36"/>
      <c r="E372" s="36"/>
      <c r="F372" s="36"/>
      <c r="G372" s="36"/>
      <c r="H372" s="36"/>
      <c r="I372" s="36"/>
      <c r="J372" s="36"/>
      <c r="K372" s="38"/>
      <c r="L372" s="37"/>
      <c r="M372" s="38"/>
      <c r="N372" s="38"/>
      <c r="O372" s="36"/>
      <c r="P372" s="40"/>
      <c r="Q372" s="40"/>
      <c r="R372" s="42"/>
    </row>
    <row r="373" ht="13.5" customHeight="1" spans="1:18">
      <c r="A373" s="43"/>
      <c r="B373" s="36"/>
      <c r="C373" s="36"/>
      <c r="D373" s="36"/>
      <c r="E373" s="36"/>
      <c r="F373" s="36"/>
      <c r="G373" s="36"/>
      <c r="H373" s="36"/>
      <c r="I373" s="36"/>
      <c r="J373" s="36"/>
      <c r="K373" s="38"/>
      <c r="L373" s="37"/>
      <c r="M373" s="38"/>
      <c r="N373" s="38"/>
      <c r="O373" s="36"/>
      <c r="P373" s="40"/>
      <c r="Q373" s="40"/>
      <c r="R373" s="42"/>
    </row>
    <row r="374" ht="13.5" customHeight="1" spans="1:18">
      <c r="A374" s="43"/>
      <c r="B374" s="36"/>
      <c r="C374" s="36"/>
      <c r="D374" s="36"/>
      <c r="E374" s="36"/>
      <c r="F374" s="36"/>
      <c r="G374" s="36"/>
      <c r="H374" s="36"/>
      <c r="I374" s="36"/>
      <c r="J374" s="36"/>
      <c r="K374" s="38"/>
      <c r="L374" s="37"/>
      <c r="M374" s="38"/>
      <c r="N374" s="38"/>
      <c r="O374" s="36"/>
      <c r="P374" s="40"/>
      <c r="Q374" s="40"/>
      <c r="R374" s="42"/>
    </row>
    <row r="375" ht="13.5" customHeight="1" spans="1:18">
      <c r="A375" s="43"/>
      <c r="B375" s="36"/>
      <c r="C375" s="36"/>
      <c r="D375" s="36"/>
      <c r="E375" s="36"/>
      <c r="F375" s="36"/>
      <c r="G375" s="36"/>
      <c r="H375" s="36"/>
      <c r="I375" s="36"/>
      <c r="J375" s="36"/>
      <c r="K375" s="38"/>
      <c r="L375" s="37"/>
      <c r="M375" s="38"/>
      <c r="N375" s="38"/>
      <c r="O375" s="36"/>
      <c r="P375" s="40"/>
      <c r="Q375" s="40"/>
      <c r="R375" s="42"/>
    </row>
    <row r="376" ht="13.5" customHeight="1" spans="1:18">
      <c r="A376" s="43"/>
      <c r="B376" s="36"/>
      <c r="C376" s="36"/>
      <c r="D376" s="36"/>
      <c r="E376" s="36"/>
      <c r="F376" s="36"/>
      <c r="G376" s="36"/>
      <c r="H376" s="36"/>
      <c r="I376" s="36"/>
      <c r="J376" s="36"/>
      <c r="K376" s="38"/>
      <c r="L376" s="37"/>
      <c r="M376" s="38"/>
      <c r="N376" s="38"/>
      <c r="O376" s="36"/>
      <c r="P376" s="40"/>
      <c r="Q376" s="40"/>
      <c r="R376" s="42"/>
    </row>
    <row r="377" ht="13.5" customHeight="1" spans="1:18">
      <c r="A377" s="43"/>
      <c r="B377" s="36"/>
      <c r="C377" s="36"/>
      <c r="D377" s="36"/>
      <c r="E377" s="36"/>
      <c r="F377" s="36"/>
      <c r="G377" s="36"/>
      <c r="H377" s="36"/>
      <c r="I377" s="36"/>
      <c r="J377" s="36"/>
      <c r="K377" s="38"/>
      <c r="L377" s="37"/>
      <c r="M377" s="38"/>
      <c r="N377" s="38"/>
      <c r="O377" s="36"/>
      <c r="P377" s="40"/>
      <c r="Q377" s="40"/>
      <c r="R377" s="42"/>
    </row>
    <row r="378" ht="13.5" customHeight="1" spans="1:18">
      <c r="A378" s="43"/>
      <c r="B378" s="36"/>
      <c r="C378" s="36"/>
      <c r="D378" s="36"/>
      <c r="E378" s="36"/>
      <c r="F378" s="36"/>
      <c r="G378" s="36"/>
      <c r="H378" s="36"/>
      <c r="I378" s="36"/>
      <c r="J378" s="36"/>
      <c r="K378" s="38"/>
      <c r="L378" s="37"/>
      <c r="M378" s="38"/>
      <c r="N378" s="38"/>
      <c r="O378" s="36"/>
      <c r="P378" s="40"/>
      <c r="Q378" s="40"/>
      <c r="R378" s="42"/>
    </row>
    <row r="379" ht="13.5" customHeight="1" spans="1:18">
      <c r="A379" s="43"/>
      <c r="B379" s="36"/>
      <c r="C379" s="36"/>
      <c r="D379" s="36"/>
      <c r="E379" s="36"/>
      <c r="F379" s="36"/>
      <c r="G379" s="36"/>
      <c r="H379" s="36"/>
      <c r="I379" s="36"/>
      <c r="J379" s="36"/>
      <c r="K379" s="38"/>
      <c r="L379" s="37"/>
      <c r="M379" s="38"/>
      <c r="N379" s="38"/>
      <c r="O379" s="36"/>
      <c r="P379" s="40"/>
      <c r="Q379" s="40"/>
      <c r="R379" s="42"/>
    </row>
    <row r="380" ht="13.5" customHeight="1" spans="1:18">
      <c r="A380" s="43"/>
      <c r="B380" s="36"/>
      <c r="C380" s="36"/>
      <c r="D380" s="36"/>
      <c r="E380" s="36"/>
      <c r="F380" s="36"/>
      <c r="G380" s="36"/>
      <c r="H380" s="36"/>
      <c r="I380" s="36"/>
      <c r="J380" s="36"/>
      <c r="K380" s="38"/>
      <c r="L380" s="37"/>
      <c r="M380" s="38"/>
      <c r="N380" s="38"/>
      <c r="O380" s="36"/>
      <c r="P380" s="40"/>
      <c r="Q380" s="40"/>
      <c r="R380" s="42"/>
    </row>
    <row r="381" ht="13.5" customHeight="1" spans="1:18">
      <c r="A381" s="43"/>
      <c r="B381" s="36"/>
      <c r="C381" s="36"/>
      <c r="D381" s="36"/>
      <c r="E381" s="36"/>
      <c r="F381" s="36"/>
      <c r="G381" s="36"/>
      <c r="H381" s="36"/>
      <c r="I381" s="36"/>
      <c r="J381" s="36"/>
      <c r="K381" s="38"/>
      <c r="L381" s="37"/>
      <c r="M381" s="38"/>
      <c r="N381" s="38"/>
      <c r="O381" s="36"/>
      <c r="P381" s="40"/>
      <c r="Q381" s="40"/>
      <c r="R381" s="42"/>
    </row>
  </sheetData>
  <pageMargins left="0.699305555555556" right="0.699305555555556" top="0.75" bottom="0.75" header="0.3" footer="0.3"/>
  <pageSetup paperSize="1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B11:I32"/>
  <sheetViews>
    <sheetView showGridLines="0" zoomScale="80" zoomScaleNormal="80" topLeftCell="A13" workbookViewId="0">
      <selection activeCell="J44" sqref="J44"/>
    </sheetView>
  </sheetViews>
  <sheetFormatPr defaultColWidth="9" defaultRowHeight="13.5"/>
  <cols>
    <col min="2" max="2" width="32.1428571428571" customWidth="1"/>
    <col min="3" max="3" width="9.57142857142857" customWidth="1"/>
    <col min="4" max="4" width="8.71428571428571" customWidth="1"/>
  </cols>
  <sheetData>
    <row r="11" ht="12" customHeight="1"/>
    <row r="26" spans="2:9">
      <c r="B26" s="32" t="s">
        <v>4</v>
      </c>
      <c r="C26" s="33">
        <v>42979</v>
      </c>
      <c r="D26">
        <v>43009</v>
      </c>
      <c r="E26" s="33"/>
      <c r="F26" s="33"/>
      <c r="G26" s="33"/>
      <c r="H26" s="33"/>
      <c r="I26" s="33"/>
    </row>
    <row r="27" spans="2:9">
      <c r="B27" s="27" t="s">
        <v>82</v>
      </c>
      <c r="C27" s="28">
        <v>10.47</v>
      </c>
      <c r="D27">
        <v>7.416666666666</v>
      </c>
      <c r="E27" s="28"/>
      <c r="F27" s="28"/>
      <c r="G27" s="28"/>
      <c r="H27" s="28"/>
      <c r="I27" s="28"/>
    </row>
    <row r="28" spans="2:9">
      <c r="B28" s="27" t="s">
        <v>83</v>
      </c>
      <c r="C28" s="29">
        <v>4</v>
      </c>
      <c r="D28">
        <v>4</v>
      </c>
      <c r="E28" s="29"/>
      <c r="F28" s="29"/>
      <c r="G28" s="29"/>
      <c r="H28" s="29"/>
      <c r="I28" s="29"/>
    </row>
    <row r="29" spans="2:9">
      <c r="B29" s="27" t="s">
        <v>84</v>
      </c>
      <c r="C29" s="29">
        <v>4</v>
      </c>
      <c r="D29" t="s">
        <v>85</v>
      </c>
      <c r="E29" s="29"/>
      <c r="F29" s="29"/>
      <c r="G29" s="29"/>
      <c r="H29" s="29"/>
      <c r="I29" s="29"/>
    </row>
    <row r="30" spans="2:9">
      <c r="B30" s="27" t="s">
        <v>86</v>
      </c>
      <c r="C30" s="30">
        <v>1</v>
      </c>
      <c r="D30" t="s">
        <v>85</v>
      </c>
      <c r="E30" s="30"/>
      <c r="F30" s="30"/>
      <c r="G30" s="30"/>
      <c r="H30" s="30"/>
      <c r="I30" s="30"/>
    </row>
    <row r="31" spans="2:9">
      <c r="B31" s="27" t="s">
        <v>87</v>
      </c>
      <c r="C31" s="31">
        <v>1</v>
      </c>
      <c r="D31" t="s">
        <v>85</v>
      </c>
      <c r="E31" s="31"/>
      <c r="F31" s="31"/>
      <c r="G31" s="31"/>
      <c r="H31" s="31"/>
      <c r="I31" s="31"/>
    </row>
    <row r="32" spans="2:9">
      <c r="B32" s="27" t="s">
        <v>88</v>
      </c>
      <c r="C32" s="29">
        <v>285</v>
      </c>
      <c r="D32">
        <v>285</v>
      </c>
      <c r="E32" s="29"/>
      <c r="F32" s="29"/>
      <c r="G32" s="29"/>
      <c r="H32" s="29"/>
      <c r="I32" s="29"/>
    </row>
  </sheetData>
  <pageMargins left="0.699305555555556" right="0.699305555555556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name="Button 2" r:id="rId3">
              <controlPr print="0" defaultSize="0">
                <anchor moveWithCells="1" sizeWithCells="1">
                  <from>
                    <xdr:col>18</xdr:col>
                    <xdr:colOff>38100</xdr:colOff>
                    <xdr:row>2</xdr:row>
                    <xdr:rowOff>28575</xdr:rowOff>
                  </from>
                  <to>
                    <xdr:col>20</xdr:col>
                    <xdr:colOff>457200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name="Button 3" r:id="rId4">
              <controlPr print="0" defaultSize="0">
                <anchor moveWithCells="1" sizeWithCells="1">
                  <from>
                    <xdr:col>18</xdr:col>
                    <xdr:colOff>38100</xdr:colOff>
                    <xdr:row>5</xdr:row>
                    <xdr:rowOff>133350</xdr:rowOff>
                  </from>
                  <to>
                    <xdr:col>20</xdr:col>
                    <xdr:colOff>476250</xdr:colOff>
                    <xdr:row>7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B11:I32"/>
  <sheetViews>
    <sheetView showGridLines="0" zoomScale="80" zoomScaleNormal="80" topLeftCell="A2" workbookViewId="0">
      <selection activeCell="D26" sqref="D26:E32"/>
    </sheetView>
  </sheetViews>
  <sheetFormatPr defaultColWidth="9" defaultRowHeight="13.5"/>
  <cols>
    <col min="1" max="1" width="4.85714285714286" customWidth="1"/>
    <col min="2" max="2" width="32.1428571428571" customWidth="1"/>
    <col min="3" max="3" width="12.7142857142857" customWidth="1"/>
  </cols>
  <sheetData>
    <row r="11" ht="12" customHeight="1"/>
    <row r="26" spans="2:9">
      <c r="B26" s="25" t="s">
        <v>4</v>
      </c>
      <c r="C26" s="26">
        <v>42979</v>
      </c>
      <c r="D26">
        <v>43009</v>
      </c>
      <c r="E26" s="26"/>
      <c r="F26" s="26"/>
      <c r="G26" s="26"/>
      <c r="H26" s="26"/>
      <c r="I26" s="26"/>
    </row>
    <row r="27" spans="2:9">
      <c r="B27" s="27" t="s">
        <v>82</v>
      </c>
      <c r="C27" s="28">
        <v>4.366</v>
      </c>
      <c r="D27">
        <v>4.366666666666</v>
      </c>
      <c r="E27" s="28"/>
      <c r="F27" s="28"/>
      <c r="G27" s="28"/>
      <c r="H27" s="28"/>
      <c r="I27" s="28"/>
    </row>
    <row r="28" spans="2:9">
      <c r="B28" s="27" t="s">
        <v>83</v>
      </c>
      <c r="C28" s="29">
        <v>1</v>
      </c>
      <c r="D28">
        <v>1</v>
      </c>
      <c r="E28" s="29"/>
      <c r="F28" s="29"/>
      <c r="G28" s="29"/>
      <c r="H28" s="29"/>
      <c r="I28" s="29"/>
    </row>
    <row r="29" spans="2:9">
      <c r="B29" s="27" t="s">
        <v>84</v>
      </c>
      <c r="C29" s="29">
        <v>1</v>
      </c>
      <c r="D29" t="s">
        <v>85</v>
      </c>
      <c r="E29" s="29"/>
      <c r="F29" s="29"/>
      <c r="G29" s="29"/>
      <c r="H29" s="29"/>
      <c r="I29" s="29"/>
    </row>
    <row r="30" spans="2:9">
      <c r="B30" s="27" t="s">
        <v>86</v>
      </c>
      <c r="C30" s="30">
        <f>C29/C28</f>
        <v>1</v>
      </c>
      <c r="D30" t="s">
        <v>85</v>
      </c>
      <c r="E30" s="30"/>
      <c r="F30" s="30"/>
      <c r="G30" s="30"/>
      <c r="H30" s="30"/>
      <c r="I30" s="30"/>
    </row>
    <row r="31" spans="2:9">
      <c r="B31" s="27" t="s">
        <v>87</v>
      </c>
      <c r="C31" s="31">
        <v>1</v>
      </c>
      <c r="D31" t="s">
        <v>85</v>
      </c>
      <c r="E31" s="31"/>
      <c r="F31" s="31"/>
      <c r="G31" s="31"/>
      <c r="H31" s="31"/>
      <c r="I31" s="31"/>
    </row>
    <row r="32" spans="2:9">
      <c r="B32" s="27" t="s">
        <v>88</v>
      </c>
      <c r="C32" s="29">
        <v>201</v>
      </c>
      <c r="D32">
        <v>201</v>
      </c>
      <c r="E32" s="29"/>
      <c r="F32" s="29"/>
      <c r="G32" s="29"/>
      <c r="H32" s="29"/>
      <c r="I32" s="29"/>
    </row>
  </sheetData>
  <pageMargins left="0.699305555555556" right="0.699305555555556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name="Button 3" r:id="rId3">
              <controlPr print="0" defaultSize="0">
                <anchor moveWithCells="1" sizeWithCells="1">
                  <from>
                    <xdr:col>19</xdr:col>
                    <xdr:colOff>47625</xdr:colOff>
                    <xdr:row>1</xdr:row>
                    <xdr:rowOff>133350</xdr:rowOff>
                  </from>
                  <to>
                    <xdr:col>21</xdr:col>
                    <xdr:colOff>133350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B11:I32"/>
  <sheetViews>
    <sheetView showGridLines="0" zoomScale="80" zoomScaleNormal="80" workbookViewId="0">
      <selection activeCell="D26" sqref="D26:E32"/>
    </sheetView>
  </sheetViews>
  <sheetFormatPr defaultColWidth="9" defaultRowHeight="13.5"/>
  <cols>
    <col min="1" max="1" width="4.85714285714286" customWidth="1"/>
    <col min="2" max="2" width="32.1428571428571" customWidth="1"/>
    <col min="3" max="3" width="12.7142857142857" customWidth="1"/>
  </cols>
  <sheetData>
    <row r="11" ht="12" customHeight="1"/>
    <row r="26" spans="2:9">
      <c r="B26" s="25" t="s">
        <v>4</v>
      </c>
      <c r="C26" s="26">
        <v>42979</v>
      </c>
      <c r="D26">
        <v>43009</v>
      </c>
      <c r="E26" s="26"/>
      <c r="F26" s="26"/>
      <c r="G26" s="26"/>
      <c r="H26" s="26"/>
      <c r="I26" s="26"/>
    </row>
    <row r="27" spans="2:9">
      <c r="B27" s="27" t="s">
        <v>82</v>
      </c>
      <c r="C27" s="28">
        <v>0</v>
      </c>
      <c r="D27">
        <v>0</v>
      </c>
      <c r="E27" s="28"/>
      <c r="F27" s="28"/>
      <c r="G27" s="28"/>
      <c r="H27" s="28"/>
      <c r="I27" s="28"/>
    </row>
    <row r="28" spans="2:9">
      <c r="B28" s="27" t="s">
        <v>83</v>
      </c>
      <c r="C28" s="29">
        <v>0</v>
      </c>
      <c r="D28">
        <v>0</v>
      </c>
      <c r="E28" s="29"/>
      <c r="F28" s="29"/>
      <c r="G28" s="29"/>
      <c r="H28" s="29"/>
      <c r="I28" s="29"/>
    </row>
    <row r="29" spans="2:9">
      <c r="B29" s="27" t="s">
        <v>84</v>
      </c>
      <c r="C29" s="29">
        <v>0</v>
      </c>
      <c r="D29" t="s">
        <v>85</v>
      </c>
      <c r="E29" s="29"/>
      <c r="F29" s="29"/>
      <c r="G29" s="29"/>
      <c r="H29" s="29"/>
      <c r="I29" s="29"/>
    </row>
    <row r="30" spans="2:9">
      <c r="B30" s="27" t="s">
        <v>86</v>
      </c>
      <c r="C30" s="30">
        <v>1</v>
      </c>
      <c r="D30" t="s">
        <v>85</v>
      </c>
      <c r="E30" s="30"/>
      <c r="F30" s="30"/>
      <c r="G30" s="30"/>
      <c r="H30" s="30"/>
      <c r="I30" s="30"/>
    </row>
    <row r="31" spans="2:9">
      <c r="B31" s="27" t="s">
        <v>87</v>
      </c>
      <c r="C31" s="31">
        <v>1</v>
      </c>
      <c r="D31" t="s">
        <v>85</v>
      </c>
      <c r="E31" s="31"/>
      <c r="F31" s="31"/>
      <c r="G31" s="31"/>
      <c r="H31" s="31"/>
      <c r="I31" s="31"/>
    </row>
    <row r="32" spans="2:9">
      <c r="B32" s="27" t="s">
        <v>88</v>
      </c>
      <c r="C32" s="29">
        <v>14</v>
      </c>
      <c r="D32">
        <v>14</v>
      </c>
      <c r="E32" s="29"/>
      <c r="F32" s="29"/>
      <c r="G32" s="29"/>
      <c r="H32" s="29"/>
      <c r="I32" s="29"/>
    </row>
  </sheetData>
  <pageMargins left="0.699305555555556" right="0.699305555555556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name="Button 1" r:id="rId3">
              <controlPr print="0" defaultSize="0">
                <anchor moveWithCells="1" sizeWithCells="1">
                  <from>
                    <xdr:col>19</xdr:col>
                    <xdr:colOff>95250</xdr:colOff>
                    <xdr:row>1</xdr:row>
                    <xdr:rowOff>142875</xdr:rowOff>
                  </from>
                  <to>
                    <xdr:col>21</xdr:col>
                    <xdr:colOff>504825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B11:I32"/>
  <sheetViews>
    <sheetView showGridLines="0" zoomScale="80" zoomScaleNormal="80" workbookViewId="0">
      <selection activeCell="D26" sqref="D26:E32"/>
    </sheetView>
  </sheetViews>
  <sheetFormatPr defaultColWidth="9" defaultRowHeight="13.5"/>
  <cols>
    <col min="1" max="1" width="4.85714285714286" customWidth="1"/>
    <col min="2" max="2" width="32.1428571428571" customWidth="1"/>
    <col min="3" max="3" width="12.7142857142857" customWidth="1"/>
  </cols>
  <sheetData>
    <row r="11" ht="12" customHeight="1"/>
    <row r="26" spans="2:9">
      <c r="B26" s="25" t="s">
        <v>4</v>
      </c>
      <c r="C26" s="26">
        <v>42979</v>
      </c>
      <c r="D26">
        <v>43009</v>
      </c>
      <c r="E26" s="26"/>
      <c r="F26" s="26"/>
      <c r="G26" s="26"/>
      <c r="H26" s="26"/>
      <c r="I26" s="26"/>
    </row>
    <row r="27" spans="2:9">
      <c r="B27" s="27" t="s">
        <v>82</v>
      </c>
      <c r="C27" s="28">
        <v>3.05</v>
      </c>
      <c r="D27">
        <v>3.05</v>
      </c>
      <c r="E27" s="28"/>
      <c r="F27" s="28"/>
      <c r="G27" s="28"/>
      <c r="H27" s="28"/>
      <c r="I27" s="28"/>
    </row>
    <row r="28" spans="2:9">
      <c r="B28" s="27" t="s">
        <v>83</v>
      </c>
      <c r="C28" s="29">
        <v>3</v>
      </c>
      <c r="D28">
        <v>3</v>
      </c>
      <c r="E28" s="29"/>
      <c r="F28" s="29"/>
      <c r="G28" s="29"/>
      <c r="H28" s="29"/>
      <c r="I28" s="29"/>
    </row>
    <row r="29" spans="2:9">
      <c r="B29" s="27" t="s">
        <v>84</v>
      </c>
      <c r="C29" s="29">
        <v>3</v>
      </c>
      <c r="D29" t="s">
        <v>85</v>
      </c>
      <c r="E29" s="29"/>
      <c r="F29" s="29"/>
      <c r="G29" s="29"/>
      <c r="H29" s="29"/>
      <c r="I29" s="29"/>
    </row>
    <row r="30" spans="2:9">
      <c r="B30" s="27" t="s">
        <v>86</v>
      </c>
      <c r="C30" s="30">
        <f>C29/C28</f>
        <v>1</v>
      </c>
      <c r="D30" t="s">
        <v>85</v>
      </c>
      <c r="E30" s="30"/>
      <c r="F30" s="30"/>
      <c r="G30" s="30"/>
      <c r="H30" s="30"/>
      <c r="I30" s="30"/>
    </row>
    <row r="31" spans="2:9">
      <c r="B31" s="27" t="s">
        <v>87</v>
      </c>
      <c r="C31" s="31">
        <v>1</v>
      </c>
      <c r="D31" t="s">
        <v>85</v>
      </c>
      <c r="E31" s="31"/>
      <c r="F31" s="31"/>
      <c r="G31" s="31"/>
      <c r="H31" s="31"/>
      <c r="I31" s="31"/>
    </row>
    <row r="32" spans="2:9">
      <c r="B32" s="27" t="s">
        <v>88</v>
      </c>
      <c r="C32" s="29">
        <v>55</v>
      </c>
      <c r="D32">
        <v>55</v>
      </c>
      <c r="E32" s="29"/>
      <c r="F32" s="29"/>
      <c r="G32" s="29"/>
      <c r="H32" s="29"/>
      <c r="I32" s="29"/>
    </row>
  </sheetData>
  <pageMargins left="0.699305555555556" right="0.699305555555556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name="Button 1" r:id="rId3">
              <controlPr print="0" defaultSize="0">
                <anchor moveWithCells="1" sizeWithCells="1">
                  <from>
                    <xdr:col>18</xdr:col>
                    <xdr:colOff>390525</xdr:colOff>
                    <xdr:row>2</xdr:row>
                    <xdr:rowOff>0</xdr:rowOff>
                  </from>
                  <to>
                    <xdr:col>21</xdr:col>
                    <xdr:colOff>171450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B11:I32"/>
  <sheetViews>
    <sheetView showGridLines="0" zoomScale="80" zoomScaleNormal="80" workbookViewId="0">
      <selection activeCell="D26" sqref="D26:E32"/>
    </sheetView>
  </sheetViews>
  <sheetFormatPr defaultColWidth="9" defaultRowHeight="13.5"/>
  <cols>
    <col min="1" max="1" width="4.85714285714286" customWidth="1"/>
    <col min="2" max="2" width="32.1428571428571" customWidth="1"/>
    <col min="3" max="3" width="12.7142857142857" customWidth="1"/>
  </cols>
  <sheetData>
    <row r="11" ht="12" customHeight="1"/>
    <row r="26" spans="2:9">
      <c r="B26" s="25" t="s">
        <v>4</v>
      </c>
      <c r="C26" s="26">
        <v>42979</v>
      </c>
      <c r="D26">
        <v>43009</v>
      </c>
      <c r="E26" s="26"/>
      <c r="F26" s="26"/>
      <c r="G26" s="26"/>
      <c r="H26" s="26"/>
      <c r="I26" s="26"/>
    </row>
    <row r="27" spans="2:9">
      <c r="B27" s="27" t="s">
        <v>82</v>
      </c>
      <c r="C27" s="28">
        <v>12</v>
      </c>
      <c r="D27">
        <v>0</v>
      </c>
      <c r="E27" s="28"/>
      <c r="F27" s="28"/>
      <c r="G27" s="28"/>
      <c r="H27" s="28"/>
      <c r="I27" s="28"/>
    </row>
    <row r="28" spans="2:9">
      <c r="B28" s="27" t="s">
        <v>83</v>
      </c>
      <c r="C28" s="29">
        <v>0</v>
      </c>
      <c r="D28">
        <v>0</v>
      </c>
      <c r="E28" s="29"/>
      <c r="F28" s="29"/>
      <c r="G28" s="29"/>
      <c r="H28" s="29"/>
      <c r="I28" s="29"/>
    </row>
    <row r="29" spans="2:9">
      <c r="B29" s="27" t="s">
        <v>84</v>
      </c>
      <c r="C29" s="29">
        <v>0</v>
      </c>
      <c r="D29" t="s">
        <v>85</v>
      </c>
      <c r="E29" s="29"/>
      <c r="F29" s="29"/>
      <c r="G29" s="29"/>
      <c r="H29" s="29"/>
      <c r="I29" s="29"/>
    </row>
    <row r="30" spans="2:9">
      <c r="B30" s="27" t="s">
        <v>86</v>
      </c>
      <c r="C30" s="30">
        <v>1</v>
      </c>
      <c r="D30" t="s">
        <v>85</v>
      </c>
      <c r="E30" s="30"/>
      <c r="F30" s="30"/>
      <c r="G30" s="30"/>
      <c r="H30" s="30"/>
      <c r="I30" s="30"/>
    </row>
    <row r="31" spans="2:9">
      <c r="B31" s="27" t="s">
        <v>87</v>
      </c>
      <c r="C31" s="31">
        <v>1</v>
      </c>
      <c r="D31" t="s">
        <v>85</v>
      </c>
      <c r="E31" s="31"/>
      <c r="F31" s="31"/>
      <c r="G31" s="31"/>
      <c r="H31" s="31"/>
      <c r="I31" s="31"/>
    </row>
    <row r="32" spans="2:9">
      <c r="B32" s="27" t="s">
        <v>88</v>
      </c>
      <c r="C32" s="29">
        <v>3</v>
      </c>
      <c r="D32">
        <v>3</v>
      </c>
      <c r="E32" s="29"/>
      <c r="F32" s="29"/>
      <c r="G32" s="29"/>
      <c r="H32" s="29"/>
      <c r="I32" s="29"/>
    </row>
  </sheetData>
  <pageMargins left="0.699305555555556" right="0.699305555555556" top="0.75" bottom="0.75" header="0.3" footer="0.3"/>
  <pageSetup paperSize="1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name="Button 1" r:id="rId3">
              <controlPr print="0" defaultSize="0">
                <anchor moveWithCells="1" sizeWithCells="1">
                  <from>
                    <xdr:col>18</xdr:col>
                    <xdr:colOff>533400</xdr:colOff>
                    <xdr:row>2</xdr:row>
                    <xdr:rowOff>38100</xdr:rowOff>
                  </from>
                  <to>
                    <xdr:col>21</xdr:col>
                    <xdr:colOff>419100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B11:I32"/>
  <sheetViews>
    <sheetView showGridLines="0" zoomScale="80" zoomScaleNormal="80" workbookViewId="0">
      <selection activeCell="D26" sqref="D26:E32"/>
    </sheetView>
  </sheetViews>
  <sheetFormatPr defaultColWidth="9" defaultRowHeight="13.5"/>
  <cols>
    <col min="1" max="1" width="4.85714285714286" customWidth="1"/>
    <col min="2" max="2" width="32.1428571428571" customWidth="1"/>
    <col min="3" max="3" width="12.7142857142857" customWidth="1"/>
  </cols>
  <sheetData>
    <row r="11" ht="12" customHeight="1"/>
    <row r="26" spans="2:9">
      <c r="B26" s="25" t="s">
        <v>4</v>
      </c>
      <c r="C26" s="26">
        <v>42979</v>
      </c>
      <c r="D26">
        <v>43009</v>
      </c>
      <c r="E26" s="26"/>
      <c r="F26" s="26"/>
      <c r="G26" s="26"/>
      <c r="H26" s="26"/>
      <c r="I26" s="26"/>
    </row>
    <row r="27" spans="2:9">
      <c r="B27" s="27" t="s">
        <v>82</v>
      </c>
      <c r="C27" s="28">
        <v>0</v>
      </c>
      <c r="D27">
        <v>0</v>
      </c>
      <c r="E27" s="28"/>
      <c r="F27" s="28"/>
      <c r="G27" s="28"/>
      <c r="H27" s="28"/>
      <c r="I27" s="28"/>
    </row>
    <row r="28" spans="2:9">
      <c r="B28" s="27" t="s">
        <v>83</v>
      </c>
      <c r="C28" s="29">
        <v>0</v>
      </c>
      <c r="D28">
        <v>0</v>
      </c>
      <c r="E28" s="29"/>
      <c r="F28" s="29"/>
      <c r="G28" s="29"/>
      <c r="H28" s="29"/>
      <c r="I28" s="29"/>
    </row>
    <row r="29" spans="2:9">
      <c r="B29" s="27" t="s">
        <v>84</v>
      </c>
      <c r="C29" s="29">
        <v>0</v>
      </c>
      <c r="D29" t="s">
        <v>85</v>
      </c>
      <c r="E29" s="29"/>
      <c r="F29" s="29"/>
      <c r="G29" s="29"/>
      <c r="H29" s="29"/>
      <c r="I29" s="29"/>
    </row>
    <row r="30" spans="2:9">
      <c r="B30" s="27" t="s">
        <v>86</v>
      </c>
      <c r="C30" s="30">
        <v>1</v>
      </c>
      <c r="D30" t="s">
        <v>85</v>
      </c>
      <c r="E30" s="30"/>
      <c r="F30" s="30"/>
      <c r="G30" s="30"/>
      <c r="H30" s="30"/>
      <c r="I30" s="30"/>
    </row>
    <row r="31" spans="2:9">
      <c r="B31" s="27" t="s">
        <v>87</v>
      </c>
      <c r="C31" s="31">
        <v>1</v>
      </c>
      <c r="D31" t="s">
        <v>85</v>
      </c>
      <c r="E31" s="31"/>
      <c r="F31" s="31"/>
      <c r="G31" s="31"/>
      <c r="H31" s="31"/>
      <c r="I31" s="31"/>
    </row>
    <row r="32" spans="2:9">
      <c r="B32" s="27" t="s">
        <v>88</v>
      </c>
      <c r="C32" s="29">
        <v>12</v>
      </c>
      <c r="D32">
        <v>12</v>
      </c>
      <c r="E32" s="29"/>
      <c r="F32" s="29"/>
      <c r="G32" s="29"/>
      <c r="H32" s="29"/>
      <c r="I32" s="29"/>
    </row>
  </sheetData>
  <pageMargins left="0.699305555555556" right="0.699305555555556" top="0.75" bottom="0.75" header="0.3" footer="0.3"/>
  <pageSetup paperSize="1" orientation="portrait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1"/>
  <dimension ref="B11:I32"/>
  <sheetViews>
    <sheetView showGridLines="0" zoomScale="80" zoomScaleNormal="80" workbookViewId="0">
      <selection activeCell="D26" sqref="D26:E32"/>
    </sheetView>
  </sheetViews>
  <sheetFormatPr defaultColWidth="9" defaultRowHeight="13.5"/>
  <cols>
    <col min="1" max="1" width="4.85714285714286" customWidth="1"/>
    <col min="2" max="2" width="32.1428571428571" customWidth="1"/>
    <col min="3" max="3" width="12.7142857142857" customWidth="1"/>
  </cols>
  <sheetData>
    <row r="11" ht="12" customHeight="1"/>
    <row r="26" spans="2:9">
      <c r="B26" s="25" t="s">
        <v>4</v>
      </c>
      <c r="C26" s="26">
        <v>42979</v>
      </c>
      <c r="D26">
        <v>43009</v>
      </c>
      <c r="E26" s="26"/>
      <c r="F26" s="26"/>
      <c r="G26" s="26"/>
      <c r="H26" s="26"/>
      <c r="I26" s="26"/>
    </row>
    <row r="27" spans="2:9">
      <c r="B27" s="27" t="s">
        <v>82</v>
      </c>
      <c r="C27" s="28">
        <v>0</v>
      </c>
      <c r="D27">
        <v>0</v>
      </c>
      <c r="E27" s="28"/>
      <c r="F27" s="28"/>
      <c r="G27" s="28"/>
      <c r="H27" s="28"/>
      <c r="I27" s="28"/>
    </row>
    <row r="28" spans="2:9">
      <c r="B28" s="27" t="s">
        <v>83</v>
      </c>
      <c r="C28" s="29">
        <v>0</v>
      </c>
      <c r="D28">
        <v>0</v>
      </c>
      <c r="E28" s="29"/>
      <c r="F28" s="29"/>
      <c r="G28" s="29"/>
      <c r="H28" s="29"/>
      <c r="I28" s="29"/>
    </row>
    <row r="29" spans="2:9">
      <c r="B29" s="27" t="s">
        <v>84</v>
      </c>
      <c r="C29" s="29">
        <v>0</v>
      </c>
      <c r="D29" t="s">
        <v>85</v>
      </c>
      <c r="E29" s="29"/>
      <c r="F29" s="29"/>
      <c r="G29" s="29"/>
      <c r="H29" s="29"/>
      <c r="I29" s="29"/>
    </row>
    <row r="30" spans="2:9">
      <c r="B30" s="27" t="s">
        <v>86</v>
      </c>
      <c r="C30" s="30">
        <v>1</v>
      </c>
      <c r="D30" t="s">
        <v>85</v>
      </c>
      <c r="E30" s="30"/>
      <c r="F30" s="30"/>
      <c r="G30" s="30"/>
      <c r="H30" s="30"/>
      <c r="I30" s="30"/>
    </row>
    <row r="31" spans="2:9">
      <c r="B31" s="27" t="s">
        <v>87</v>
      </c>
      <c r="C31" s="31">
        <v>1</v>
      </c>
      <c r="D31" t="s">
        <v>85</v>
      </c>
      <c r="E31" s="31"/>
      <c r="F31" s="31"/>
      <c r="G31" s="31"/>
      <c r="H31" s="31"/>
      <c r="I31" s="31"/>
    </row>
    <row r="32" spans="2:9">
      <c r="B32" s="27" t="s">
        <v>88</v>
      </c>
      <c r="C32" s="29">
        <v>0</v>
      </c>
      <c r="D32">
        <v>0</v>
      </c>
      <c r="E32" s="29"/>
      <c r="F32" s="29"/>
      <c r="G32" s="29"/>
      <c r="H32" s="29"/>
      <c r="I32" s="29"/>
    </row>
  </sheetData>
  <pageMargins left="0.699305555555556" right="0.699305555555556" top="0.75" bottom="0.75" header="0.3" footer="0.3"/>
  <pageSetup paperSize="1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2">
    <pageSetUpPr fitToPage="1"/>
  </sheetPr>
  <dimension ref="A1:P47"/>
  <sheetViews>
    <sheetView topLeftCell="B1" workbookViewId="0">
      <selection activeCell="Q31" sqref="Q31"/>
    </sheetView>
  </sheetViews>
  <sheetFormatPr defaultColWidth="9" defaultRowHeight="13.5"/>
  <cols>
    <col min="1" max="1" width="17" customWidth="1"/>
    <col min="2" max="2" width="13.2857142857143" customWidth="1"/>
    <col min="3" max="3" width="97" customWidth="1"/>
    <col min="4" max="4" width="32" customWidth="1"/>
    <col min="5" max="15" width="5.71428571428571" customWidth="1"/>
    <col min="16" max="16" width="11.5714285714286" customWidth="1"/>
  </cols>
  <sheetData>
    <row r="1" spans="1:2">
      <c r="A1" t="s">
        <v>89</v>
      </c>
      <c r="B1" s="2">
        <v>1</v>
      </c>
    </row>
    <row r="3" spans="1:5">
      <c r="A3" t="s">
        <v>90</v>
      </c>
      <c r="E3" t="s">
        <v>91</v>
      </c>
    </row>
    <row r="4" spans="1:16">
      <c r="A4" t="s">
        <v>92</v>
      </c>
      <c r="B4" t="s">
        <v>93</v>
      </c>
      <c r="C4" t="s">
        <v>21</v>
      </c>
      <c r="D4" t="s">
        <v>48</v>
      </c>
      <c r="E4" t="s">
        <v>94</v>
      </c>
      <c r="F4" t="s">
        <v>95</v>
      </c>
      <c r="G4" t="s">
        <v>96</v>
      </c>
      <c r="H4" t="s">
        <v>97</v>
      </c>
      <c r="I4" t="s">
        <v>98</v>
      </c>
      <c r="J4" t="s">
        <v>99</v>
      </c>
      <c r="K4" t="s">
        <v>100</v>
      </c>
      <c r="L4" t="s">
        <v>101</v>
      </c>
      <c r="M4" t="s">
        <v>102</v>
      </c>
      <c r="N4" t="s">
        <v>103</v>
      </c>
      <c r="O4" t="s">
        <v>104</v>
      </c>
      <c r="P4" t="s">
        <v>105</v>
      </c>
    </row>
    <row r="5" spans="1:16">
      <c r="A5" s="2">
        <v>2</v>
      </c>
      <c r="B5" s="2" t="s">
        <v>106</v>
      </c>
      <c r="C5" s="2" t="s">
        <v>107</v>
      </c>
      <c r="D5" s="2" t="s">
        <v>64</v>
      </c>
      <c r="E5" s="24">
        <v>1</v>
      </c>
      <c r="F5" s="24"/>
      <c r="G5" s="24"/>
      <c r="H5" s="24"/>
      <c r="I5" s="24"/>
      <c r="J5" s="24"/>
      <c r="K5" s="24"/>
      <c r="L5" s="24"/>
      <c r="M5" s="24"/>
      <c r="N5" s="24"/>
      <c r="O5" s="24"/>
      <c r="P5" s="24">
        <v>1</v>
      </c>
    </row>
    <row r="6" spans="2:16">
      <c r="B6" s="2" t="s">
        <v>108</v>
      </c>
      <c r="C6" s="2" t="s">
        <v>107</v>
      </c>
      <c r="D6" s="2" t="s">
        <v>64</v>
      </c>
      <c r="E6" s="24">
        <v>1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>
        <v>1</v>
      </c>
    </row>
    <row r="7" spans="1:16">
      <c r="A7" s="2" t="s">
        <v>109</v>
      </c>
      <c r="E7" s="24">
        <v>2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4">
        <v>2</v>
      </c>
    </row>
    <row r="8" spans="1:16">
      <c r="A8" s="2">
        <v>3</v>
      </c>
      <c r="B8" s="2" t="s">
        <v>110</v>
      </c>
      <c r="C8" s="2" t="s">
        <v>111</v>
      </c>
      <c r="D8" s="2" t="s">
        <v>59</v>
      </c>
      <c r="E8" s="24">
        <v>1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4">
        <v>1</v>
      </c>
    </row>
    <row r="9" spans="2:16">
      <c r="B9" s="2" t="s">
        <v>112</v>
      </c>
      <c r="C9" s="2" t="s">
        <v>113</v>
      </c>
      <c r="D9" s="2" t="s">
        <v>73</v>
      </c>
      <c r="E9" s="24">
        <v>1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4">
        <v>1</v>
      </c>
    </row>
    <row r="10" spans="2:16">
      <c r="B10" s="2" t="s">
        <v>114</v>
      </c>
      <c r="C10" s="2" t="s">
        <v>115</v>
      </c>
      <c r="D10" s="2" t="s">
        <v>79</v>
      </c>
      <c r="E10" s="24"/>
      <c r="F10" s="24">
        <v>1</v>
      </c>
      <c r="G10" s="24"/>
      <c r="H10" s="24"/>
      <c r="I10" s="24"/>
      <c r="J10" s="24"/>
      <c r="K10" s="24"/>
      <c r="L10" s="24"/>
      <c r="M10" s="24"/>
      <c r="N10" s="24"/>
      <c r="O10" s="24"/>
      <c r="P10" s="24">
        <v>1</v>
      </c>
    </row>
    <row r="11" spans="2:16">
      <c r="B11" s="2" t="s">
        <v>116</v>
      </c>
      <c r="C11" s="2" t="s">
        <v>117</v>
      </c>
      <c r="D11" s="2" t="s">
        <v>118</v>
      </c>
      <c r="E11" s="24"/>
      <c r="F11" s="24">
        <v>1</v>
      </c>
      <c r="G11" s="24"/>
      <c r="H11" s="24"/>
      <c r="I11" s="24"/>
      <c r="J11" s="24"/>
      <c r="K11" s="24"/>
      <c r="L11" s="24"/>
      <c r="M11" s="24"/>
      <c r="N11" s="24"/>
      <c r="O11" s="24"/>
      <c r="P11" s="24">
        <v>1</v>
      </c>
    </row>
    <row r="12" spans="2:16">
      <c r="B12" s="2" t="s">
        <v>119</v>
      </c>
      <c r="C12" s="2" t="s">
        <v>120</v>
      </c>
      <c r="D12" s="2" t="s">
        <v>121</v>
      </c>
      <c r="E12" s="24"/>
      <c r="F12" s="24"/>
      <c r="G12" s="24">
        <v>1</v>
      </c>
      <c r="H12" s="24"/>
      <c r="I12" s="24"/>
      <c r="J12" s="24"/>
      <c r="K12" s="24"/>
      <c r="L12" s="24"/>
      <c r="M12" s="24"/>
      <c r="N12" s="24"/>
      <c r="O12" s="24"/>
      <c r="P12" s="24">
        <v>1</v>
      </c>
    </row>
    <row r="13" spans="2:16">
      <c r="B13" s="2" t="s">
        <v>122</v>
      </c>
      <c r="C13" s="2" t="s">
        <v>123</v>
      </c>
      <c r="D13" s="2" t="s">
        <v>60</v>
      </c>
      <c r="E13" s="24"/>
      <c r="F13" s="24"/>
      <c r="G13" s="24">
        <v>1</v>
      </c>
      <c r="H13" s="24"/>
      <c r="I13" s="24"/>
      <c r="J13" s="24"/>
      <c r="K13" s="24"/>
      <c r="L13" s="24"/>
      <c r="M13" s="24"/>
      <c r="N13" s="24"/>
      <c r="O13" s="24"/>
      <c r="P13" s="24">
        <v>1</v>
      </c>
    </row>
    <row r="14" spans="2:16">
      <c r="B14" s="2" t="s">
        <v>124</v>
      </c>
      <c r="C14" s="2" t="s">
        <v>125</v>
      </c>
      <c r="D14" s="2" t="s">
        <v>121</v>
      </c>
      <c r="E14" s="24"/>
      <c r="F14" s="24"/>
      <c r="G14" s="24"/>
      <c r="H14" s="24">
        <v>1</v>
      </c>
      <c r="I14" s="24"/>
      <c r="J14" s="24"/>
      <c r="K14" s="24"/>
      <c r="L14" s="24"/>
      <c r="M14" s="24"/>
      <c r="N14" s="24"/>
      <c r="O14" s="24"/>
      <c r="P14" s="24">
        <v>1</v>
      </c>
    </row>
    <row r="15" spans="2:16">
      <c r="B15" s="2" t="s">
        <v>126</v>
      </c>
      <c r="C15" s="2" t="s">
        <v>127</v>
      </c>
      <c r="D15" s="2" t="s">
        <v>61</v>
      </c>
      <c r="E15" s="24"/>
      <c r="F15" s="24"/>
      <c r="G15" s="24"/>
      <c r="H15" s="24">
        <v>1</v>
      </c>
      <c r="I15" s="24"/>
      <c r="J15" s="24"/>
      <c r="K15" s="24"/>
      <c r="L15" s="24"/>
      <c r="M15" s="24"/>
      <c r="N15" s="24"/>
      <c r="O15" s="24"/>
      <c r="P15" s="24">
        <v>1</v>
      </c>
    </row>
    <row r="16" spans="2:16">
      <c r="B16" s="2" t="s">
        <v>128</v>
      </c>
      <c r="C16" s="2" t="s">
        <v>129</v>
      </c>
      <c r="D16" s="2" t="s">
        <v>60</v>
      </c>
      <c r="E16" s="24"/>
      <c r="F16" s="24"/>
      <c r="G16" s="24"/>
      <c r="H16" s="24"/>
      <c r="I16" s="24">
        <v>1</v>
      </c>
      <c r="J16" s="24"/>
      <c r="K16" s="24"/>
      <c r="L16" s="24"/>
      <c r="M16" s="24"/>
      <c r="N16" s="24"/>
      <c r="O16" s="24"/>
      <c r="P16" s="24">
        <v>1</v>
      </c>
    </row>
    <row r="17" spans="2:16">
      <c r="B17" s="2" t="s">
        <v>130</v>
      </c>
      <c r="C17" s="2" t="s">
        <v>131</v>
      </c>
      <c r="D17" s="2" t="s">
        <v>61</v>
      </c>
      <c r="E17" s="24"/>
      <c r="F17" s="24"/>
      <c r="G17" s="24"/>
      <c r="H17" s="24"/>
      <c r="I17" s="24">
        <v>1</v>
      </c>
      <c r="J17" s="24"/>
      <c r="K17" s="24"/>
      <c r="L17" s="24"/>
      <c r="M17" s="24"/>
      <c r="N17" s="24"/>
      <c r="O17" s="24"/>
      <c r="P17" s="24">
        <v>1</v>
      </c>
    </row>
    <row r="18" spans="2:16">
      <c r="B18" s="2" t="s">
        <v>132</v>
      </c>
      <c r="C18" s="2" t="s">
        <v>133</v>
      </c>
      <c r="D18" s="2" t="s">
        <v>134</v>
      </c>
      <c r="E18" s="24"/>
      <c r="F18" s="24"/>
      <c r="G18" s="24"/>
      <c r="H18" s="24"/>
      <c r="I18" s="24">
        <v>1</v>
      </c>
      <c r="J18" s="24"/>
      <c r="K18" s="24"/>
      <c r="L18" s="24"/>
      <c r="M18" s="24"/>
      <c r="N18" s="24"/>
      <c r="O18" s="24"/>
      <c r="P18" s="24">
        <v>1</v>
      </c>
    </row>
    <row r="19" spans="2:16">
      <c r="B19" s="2" t="s">
        <v>135</v>
      </c>
      <c r="C19" s="2" t="s">
        <v>136</v>
      </c>
      <c r="D19" s="2" t="s">
        <v>78</v>
      </c>
      <c r="E19" s="24"/>
      <c r="F19" s="24"/>
      <c r="G19" s="24"/>
      <c r="H19" s="24"/>
      <c r="I19" s="24"/>
      <c r="J19" s="24">
        <v>1</v>
      </c>
      <c r="K19" s="24"/>
      <c r="L19" s="24"/>
      <c r="M19" s="24"/>
      <c r="N19" s="24"/>
      <c r="O19" s="24"/>
      <c r="P19" s="24">
        <v>1</v>
      </c>
    </row>
    <row r="20" spans="2:16">
      <c r="B20" s="2" t="s">
        <v>137</v>
      </c>
      <c r="C20" s="2" t="s">
        <v>138</v>
      </c>
      <c r="D20" s="2" t="s">
        <v>139</v>
      </c>
      <c r="E20" s="24"/>
      <c r="F20" s="24"/>
      <c r="G20" s="24"/>
      <c r="H20" s="24"/>
      <c r="I20" s="24"/>
      <c r="J20" s="24">
        <v>1</v>
      </c>
      <c r="K20" s="24"/>
      <c r="L20" s="24"/>
      <c r="M20" s="24"/>
      <c r="N20" s="24"/>
      <c r="O20" s="24"/>
      <c r="P20" s="24">
        <v>1</v>
      </c>
    </row>
    <row r="21" spans="2:16">
      <c r="B21" s="2" t="s">
        <v>140</v>
      </c>
      <c r="C21" s="2" t="s">
        <v>141</v>
      </c>
      <c r="D21" s="2" t="s">
        <v>59</v>
      </c>
      <c r="E21" s="24"/>
      <c r="F21" s="24"/>
      <c r="G21" s="24"/>
      <c r="H21" s="24"/>
      <c r="I21" s="24"/>
      <c r="J21" s="24"/>
      <c r="K21" s="24">
        <v>1</v>
      </c>
      <c r="L21" s="24"/>
      <c r="M21" s="24"/>
      <c r="N21" s="24"/>
      <c r="O21" s="24"/>
      <c r="P21" s="24">
        <v>1</v>
      </c>
    </row>
    <row r="22" spans="2:16">
      <c r="B22" s="2" t="s">
        <v>142</v>
      </c>
      <c r="C22" s="2" t="s">
        <v>143</v>
      </c>
      <c r="D22" s="2" t="s">
        <v>144</v>
      </c>
      <c r="E22" s="24"/>
      <c r="F22" s="24"/>
      <c r="G22" s="24"/>
      <c r="H22" s="24"/>
      <c r="I22" s="24"/>
      <c r="J22" s="24"/>
      <c r="K22" s="24">
        <v>1</v>
      </c>
      <c r="L22" s="24"/>
      <c r="M22" s="24"/>
      <c r="N22" s="24"/>
      <c r="O22" s="24"/>
      <c r="P22" s="24">
        <v>1</v>
      </c>
    </row>
    <row r="23" spans="2:16">
      <c r="B23" s="2" t="s">
        <v>145</v>
      </c>
      <c r="C23" s="2" t="s">
        <v>146</v>
      </c>
      <c r="D23" s="2" t="s">
        <v>57</v>
      </c>
      <c r="E23" s="24"/>
      <c r="F23" s="24"/>
      <c r="G23" s="24"/>
      <c r="H23" s="24"/>
      <c r="I23" s="24"/>
      <c r="J23" s="24"/>
      <c r="K23" s="24"/>
      <c r="L23" s="24">
        <v>1</v>
      </c>
      <c r="M23" s="24"/>
      <c r="N23" s="24"/>
      <c r="O23" s="24"/>
      <c r="P23" s="24">
        <v>1</v>
      </c>
    </row>
    <row r="24" spans="2:16">
      <c r="B24" s="2" t="s">
        <v>147</v>
      </c>
      <c r="C24" s="2" t="s">
        <v>141</v>
      </c>
      <c r="D24" s="2" t="s">
        <v>59</v>
      </c>
      <c r="E24" s="24"/>
      <c r="F24" s="24"/>
      <c r="G24" s="24"/>
      <c r="H24" s="24"/>
      <c r="I24" s="24"/>
      <c r="J24" s="24"/>
      <c r="K24" s="24"/>
      <c r="L24" s="24"/>
      <c r="M24" s="24">
        <v>1</v>
      </c>
      <c r="N24" s="24"/>
      <c r="O24" s="24"/>
      <c r="P24" s="24">
        <v>1</v>
      </c>
    </row>
    <row r="25" spans="2:16">
      <c r="B25" s="2" t="s">
        <v>148</v>
      </c>
      <c r="C25" s="2" t="s">
        <v>149</v>
      </c>
      <c r="D25" s="2" t="s">
        <v>150</v>
      </c>
      <c r="E25" s="24"/>
      <c r="F25" s="24"/>
      <c r="G25" s="24"/>
      <c r="H25" s="24"/>
      <c r="I25" s="24"/>
      <c r="J25" s="24"/>
      <c r="K25" s="24"/>
      <c r="L25" s="24"/>
      <c r="M25" s="24">
        <v>1</v>
      </c>
      <c r="N25" s="24"/>
      <c r="O25" s="24"/>
      <c r="P25" s="24">
        <v>1</v>
      </c>
    </row>
    <row r="26" spans="2:16">
      <c r="B26" s="2" t="s">
        <v>151</v>
      </c>
      <c r="C26" s="2" t="s">
        <v>152</v>
      </c>
      <c r="D26" s="2" t="s">
        <v>153</v>
      </c>
      <c r="E26" s="24"/>
      <c r="F26" s="24"/>
      <c r="G26" s="24"/>
      <c r="H26" s="24"/>
      <c r="I26" s="24"/>
      <c r="J26" s="24"/>
      <c r="K26" s="24"/>
      <c r="L26" s="24"/>
      <c r="M26" s="24">
        <v>1</v>
      </c>
      <c r="N26" s="24"/>
      <c r="O26" s="24"/>
      <c r="P26" s="24">
        <v>1</v>
      </c>
    </row>
    <row r="27" spans="2:16">
      <c r="B27" s="2" t="s">
        <v>154</v>
      </c>
      <c r="C27" s="2" t="s">
        <v>155</v>
      </c>
      <c r="D27" s="2" t="s">
        <v>59</v>
      </c>
      <c r="E27" s="24"/>
      <c r="F27" s="24"/>
      <c r="G27" s="24"/>
      <c r="H27" s="24"/>
      <c r="I27" s="24"/>
      <c r="J27" s="24"/>
      <c r="K27" s="24"/>
      <c r="L27" s="24"/>
      <c r="M27" s="24">
        <v>1</v>
      </c>
      <c r="N27" s="24"/>
      <c r="O27" s="24"/>
      <c r="P27" s="24">
        <v>1</v>
      </c>
    </row>
    <row r="28" spans="2:16">
      <c r="B28" s="2" t="s">
        <v>156</v>
      </c>
      <c r="C28" s="2" t="s">
        <v>149</v>
      </c>
      <c r="D28" s="2" t="s">
        <v>57</v>
      </c>
      <c r="E28" s="24"/>
      <c r="F28" s="24"/>
      <c r="G28" s="24"/>
      <c r="H28" s="24"/>
      <c r="I28" s="24"/>
      <c r="J28" s="24"/>
      <c r="K28" s="24"/>
      <c r="L28" s="24"/>
      <c r="M28" s="24">
        <v>1</v>
      </c>
      <c r="N28" s="24"/>
      <c r="O28" s="24"/>
      <c r="P28" s="24">
        <v>1</v>
      </c>
    </row>
    <row r="29" spans="2:16">
      <c r="B29" s="2" t="s">
        <v>157</v>
      </c>
      <c r="C29" s="2" t="s">
        <v>141</v>
      </c>
      <c r="D29" s="2" t="s">
        <v>59</v>
      </c>
      <c r="E29" s="24"/>
      <c r="F29" s="24"/>
      <c r="G29" s="24"/>
      <c r="H29" s="24"/>
      <c r="I29" s="24"/>
      <c r="J29" s="24"/>
      <c r="K29" s="24"/>
      <c r="L29" s="24"/>
      <c r="M29" s="24"/>
      <c r="N29" s="24">
        <v>1</v>
      </c>
      <c r="O29" s="24"/>
      <c r="P29" s="24">
        <v>1</v>
      </c>
    </row>
    <row r="30" spans="2:16">
      <c r="B30" s="2" t="s">
        <v>158</v>
      </c>
      <c r="C30" s="2" t="s">
        <v>159</v>
      </c>
      <c r="D30" s="2" t="s">
        <v>160</v>
      </c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>
        <v>1</v>
      </c>
      <c r="P30" s="24">
        <v>1</v>
      </c>
    </row>
    <row r="31" spans="1:16">
      <c r="A31" s="2" t="s">
        <v>161</v>
      </c>
      <c r="E31" s="24">
        <v>2</v>
      </c>
      <c r="F31" s="24">
        <v>2</v>
      </c>
      <c r="G31" s="24">
        <v>2</v>
      </c>
      <c r="H31" s="24">
        <v>2</v>
      </c>
      <c r="I31" s="24">
        <v>3</v>
      </c>
      <c r="J31" s="24">
        <v>2</v>
      </c>
      <c r="K31" s="24">
        <v>2</v>
      </c>
      <c r="L31" s="24">
        <v>1</v>
      </c>
      <c r="M31" s="24">
        <v>5</v>
      </c>
      <c r="N31" s="24">
        <v>1</v>
      </c>
      <c r="O31" s="24">
        <v>1</v>
      </c>
      <c r="P31" s="24">
        <v>23</v>
      </c>
    </row>
    <row r="32" spans="1:16">
      <c r="A32" s="2">
        <v>4</v>
      </c>
      <c r="B32" s="2" t="s">
        <v>162</v>
      </c>
      <c r="C32" s="2" t="s">
        <v>163</v>
      </c>
      <c r="D32" s="2" t="s">
        <v>121</v>
      </c>
      <c r="E32" s="24">
        <v>1</v>
      </c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>
        <v>1</v>
      </c>
    </row>
    <row r="33" spans="2:16">
      <c r="B33" s="2" t="s">
        <v>164</v>
      </c>
      <c r="C33" s="2" t="s">
        <v>165</v>
      </c>
      <c r="D33" s="2" t="s">
        <v>65</v>
      </c>
      <c r="E33" s="24"/>
      <c r="F33" s="24"/>
      <c r="G33" s="24"/>
      <c r="H33" s="24"/>
      <c r="I33" s="24"/>
      <c r="J33" s="24">
        <v>1</v>
      </c>
      <c r="K33" s="24"/>
      <c r="L33" s="24"/>
      <c r="M33" s="24"/>
      <c r="N33" s="24"/>
      <c r="O33" s="24"/>
      <c r="P33" s="24">
        <v>1</v>
      </c>
    </row>
    <row r="34" spans="2:16">
      <c r="B34" s="2" t="s">
        <v>166</v>
      </c>
      <c r="C34" s="2" t="s">
        <v>167</v>
      </c>
      <c r="D34" s="2" t="s">
        <v>121</v>
      </c>
      <c r="E34" s="24"/>
      <c r="F34" s="24"/>
      <c r="G34" s="24"/>
      <c r="H34" s="24"/>
      <c r="I34" s="24"/>
      <c r="J34" s="24">
        <v>1</v>
      </c>
      <c r="K34" s="24"/>
      <c r="L34" s="24"/>
      <c r="M34" s="24"/>
      <c r="N34" s="24"/>
      <c r="O34" s="24"/>
      <c r="P34" s="24">
        <v>1</v>
      </c>
    </row>
    <row r="35" spans="2:16">
      <c r="B35" s="2" t="s">
        <v>168</v>
      </c>
      <c r="C35" s="2" t="s">
        <v>169</v>
      </c>
      <c r="D35" s="2" t="s">
        <v>60</v>
      </c>
      <c r="E35" s="24"/>
      <c r="F35" s="24"/>
      <c r="G35" s="24"/>
      <c r="H35" s="24"/>
      <c r="I35" s="24"/>
      <c r="J35" s="24"/>
      <c r="K35" s="24">
        <v>1</v>
      </c>
      <c r="L35" s="24"/>
      <c r="M35" s="24"/>
      <c r="N35" s="24"/>
      <c r="O35" s="24"/>
      <c r="P35" s="24">
        <v>1</v>
      </c>
    </row>
    <row r="36" spans="2:16">
      <c r="B36" s="2" t="s">
        <v>170</v>
      </c>
      <c r="C36" s="2" t="s">
        <v>171</v>
      </c>
      <c r="D36" s="2" t="s">
        <v>60</v>
      </c>
      <c r="E36" s="24"/>
      <c r="F36" s="24"/>
      <c r="G36" s="24"/>
      <c r="H36" s="24"/>
      <c r="I36" s="24"/>
      <c r="J36" s="24"/>
      <c r="K36" s="24">
        <v>1</v>
      </c>
      <c r="L36" s="24"/>
      <c r="M36" s="24"/>
      <c r="N36" s="24"/>
      <c r="O36" s="24"/>
      <c r="P36" s="24">
        <v>1</v>
      </c>
    </row>
    <row r="37" spans="2:16">
      <c r="B37" s="2" t="s">
        <v>172</v>
      </c>
      <c r="C37" s="2" t="s">
        <v>173</v>
      </c>
      <c r="D37" s="2" t="s">
        <v>60</v>
      </c>
      <c r="E37" s="24"/>
      <c r="F37" s="24"/>
      <c r="G37" s="24"/>
      <c r="H37" s="24"/>
      <c r="I37" s="24"/>
      <c r="J37" s="24"/>
      <c r="K37" s="24">
        <v>1</v>
      </c>
      <c r="L37" s="24"/>
      <c r="M37" s="24"/>
      <c r="N37" s="24"/>
      <c r="O37" s="24"/>
      <c r="P37" s="24">
        <v>1</v>
      </c>
    </row>
    <row r="38" spans="2:16">
      <c r="B38" s="2" t="s">
        <v>174</v>
      </c>
      <c r="C38" s="2" t="s">
        <v>175</v>
      </c>
      <c r="D38" s="2" t="s">
        <v>121</v>
      </c>
      <c r="E38" s="24"/>
      <c r="F38" s="24"/>
      <c r="G38" s="24"/>
      <c r="H38" s="24"/>
      <c r="I38" s="24"/>
      <c r="J38" s="24"/>
      <c r="K38" s="24">
        <v>1</v>
      </c>
      <c r="L38" s="24"/>
      <c r="M38" s="24"/>
      <c r="N38" s="24"/>
      <c r="O38" s="24"/>
      <c r="P38" s="24">
        <v>1</v>
      </c>
    </row>
    <row r="39" spans="2:16">
      <c r="B39" s="2" t="s">
        <v>176</v>
      </c>
      <c r="C39" s="2" t="s">
        <v>177</v>
      </c>
      <c r="D39" s="2" t="s">
        <v>59</v>
      </c>
      <c r="E39" s="24"/>
      <c r="F39" s="24"/>
      <c r="G39" s="24"/>
      <c r="H39" s="24"/>
      <c r="I39" s="24"/>
      <c r="J39" s="24"/>
      <c r="K39" s="24"/>
      <c r="L39" s="24">
        <v>1</v>
      </c>
      <c r="M39" s="24"/>
      <c r="N39" s="24"/>
      <c r="O39" s="24"/>
      <c r="P39" s="24">
        <v>1</v>
      </c>
    </row>
    <row r="40" spans="2:16">
      <c r="B40" s="2" t="s">
        <v>178</v>
      </c>
      <c r="C40" s="2" t="s">
        <v>179</v>
      </c>
      <c r="D40" s="2" t="s">
        <v>72</v>
      </c>
      <c r="E40" s="24"/>
      <c r="F40" s="24"/>
      <c r="G40" s="24"/>
      <c r="H40" s="24"/>
      <c r="I40" s="24"/>
      <c r="J40" s="24"/>
      <c r="K40" s="24"/>
      <c r="L40" s="24">
        <v>1</v>
      </c>
      <c r="M40" s="24"/>
      <c r="N40" s="24"/>
      <c r="O40" s="24"/>
      <c r="P40" s="24">
        <v>1</v>
      </c>
    </row>
    <row r="41" spans="2:16">
      <c r="B41" s="2" t="s">
        <v>180</v>
      </c>
      <c r="C41" s="2" t="s">
        <v>181</v>
      </c>
      <c r="D41" s="2" t="s">
        <v>60</v>
      </c>
      <c r="E41" s="24"/>
      <c r="F41" s="24"/>
      <c r="G41" s="24"/>
      <c r="H41" s="24"/>
      <c r="I41" s="24"/>
      <c r="J41" s="24"/>
      <c r="K41" s="24"/>
      <c r="L41" s="24"/>
      <c r="M41" s="24">
        <v>1</v>
      </c>
      <c r="N41" s="24"/>
      <c r="O41" s="24"/>
      <c r="P41" s="24">
        <v>1</v>
      </c>
    </row>
    <row r="42" spans="2:16">
      <c r="B42" s="2" t="s">
        <v>182</v>
      </c>
      <c r="C42" s="2" t="s">
        <v>183</v>
      </c>
      <c r="D42" s="2" t="s">
        <v>59</v>
      </c>
      <c r="E42" s="24"/>
      <c r="F42" s="24"/>
      <c r="G42" s="24"/>
      <c r="H42" s="24"/>
      <c r="I42" s="24"/>
      <c r="J42" s="24"/>
      <c r="K42" s="24"/>
      <c r="L42" s="24"/>
      <c r="M42" s="24">
        <v>1</v>
      </c>
      <c r="N42" s="24"/>
      <c r="O42" s="24"/>
      <c r="P42" s="24">
        <v>1</v>
      </c>
    </row>
    <row r="43" spans="2:16">
      <c r="B43" s="2" t="s">
        <v>184</v>
      </c>
      <c r="C43" s="2" t="s">
        <v>185</v>
      </c>
      <c r="D43" s="2" t="s">
        <v>72</v>
      </c>
      <c r="E43" s="24"/>
      <c r="F43" s="24"/>
      <c r="G43" s="24"/>
      <c r="H43" s="24"/>
      <c r="I43" s="24"/>
      <c r="J43" s="24"/>
      <c r="K43" s="24"/>
      <c r="L43" s="24"/>
      <c r="M43" s="24">
        <v>1</v>
      </c>
      <c r="N43" s="24"/>
      <c r="O43" s="24"/>
      <c r="P43" s="24">
        <v>1</v>
      </c>
    </row>
    <row r="44" spans="2:16">
      <c r="B44" s="2" t="s">
        <v>186</v>
      </c>
      <c r="C44" s="2" t="s">
        <v>187</v>
      </c>
      <c r="D44" s="2" t="s">
        <v>59</v>
      </c>
      <c r="E44" s="24"/>
      <c r="F44" s="24"/>
      <c r="G44" s="24"/>
      <c r="H44" s="24"/>
      <c r="I44" s="24"/>
      <c r="J44" s="24"/>
      <c r="K44" s="24"/>
      <c r="L44" s="24"/>
      <c r="M44" s="24"/>
      <c r="N44" s="24">
        <v>1</v>
      </c>
      <c r="O44" s="24"/>
      <c r="P44" s="24">
        <v>1</v>
      </c>
    </row>
    <row r="45" spans="2:16">
      <c r="B45" s="2" t="s">
        <v>188</v>
      </c>
      <c r="C45" s="2" t="s">
        <v>189</v>
      </c>
      <c r="D45" s="2" t="s">
        <v>60</v>
      </c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>
        <v>1</v>
      </c>
      <c r="P45" s="24">
        <v>1</v>
      </c>
    </row>
    <row r="46" spans="1:16">
      <c r="A46" s="2" t="s">
        <v>190</v>
      </c>
      <c r="E46" s="24">
        <v>1</v>
      </c>
      <c r="F46" s="24"/>
      <c r="G46" s="24"/>
      <c r="H46" s="24"/>
      <c r="I46" s="24"/>
      <c r="J46" s="24">
        <v>2</v>
      </c>
      <c r="K46" s="24">
        <v>4</v>
      </c>
      <c r="L46" s="24">
        <v>2</v>
      </c>
      <c r="M46" s="24">
        <v>3</v>
      </c>
      <c r="N46" s="24">
        <v>1</v>
      </c>
      <c r="O46" s="24">
        <v>1</v>
      </c>
      <c r="P46" s="24">
        <v>14</v>
      </c>
    </row>
    <row r="47" spans="1:16">
      <c r="A47" s="2" t="s">
        <v>105</v>
      </c>
      <c r="E47" s="24">
        <v>5</v>
      </c>
      <c r="F47" s="24">
        <v>2</v>
      </c>
      <c r="G47" s="24">
        <v>2</v>
      </c>
      <c r="H47" s="24">
        <v>2</v>
      </c>
      <c r="I47" s="24">
        <v>3</v>
      </c>
      <c r="J47" s="24">
        <v>4</v>
      </c>
      <c r="K47" s="24">
        <v>6</v>
      </c>
      <c r="L47" s="24">
        <v>3</v>
      </c>
      <c r="M47" s="24">
        <v>8</v>
      </c>
      <c r="N47" s="24">
        <v>2</v>
      </c>
      <c r="O47" s="24">
        <v>2</v>
      </c>
      <c r="P47" s="24">
        <v>39</v>
      </c>
    </row>
  </sheetData>
  <pageMargins left="0.699305555555556" right="0.699305555555556" top="0.75" bottom="0.75" header="0.3" footer="0.3"/>
  <pageSetup paperSize="1" scale="60" orientation="landscape"/>
  <headerFooter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3"/>
  <dimension ref="B1:F25"/>
  <sheetViews>
    <sheetView workbookViewId="0">
      <selection activeCell="E25" sqref="E25"/>
    </sheetView>
  </sheetViews>
  <sheetFormatPr defaultColWidth="9" defaultRowHeight="13.5" outlineLevelCol="5"/>
  <sheetData>
    <row r="1" spans="5:5">
      <c r="E1" t="s">
        <v>191</v>
      </c>
    </row>
    <row r="2" spans="2:6">
      <c r="B2">
        <v>1</v>
      </c>
      <c r="C2" t="s">
        <v>104</v>
      </c>
      <c r="E2" t="s">
        <v>192</v>
      </c>
      <c r="F2">
        <v>1</v>
      </c>
    </row>
    <row r="3" spans="2:6">
      <c r="B3">
        <v>2</v>
      </c>
      <c r="C3" t="s">
        <v>193</v>
      </c>
      <c r="E3" t="s">
        <v>194</v>
      </c>
      <c r="F3">
        <v>2</v>
      </c>
    </row>
    <row r="4" spans="2:6">
      <c r="B4">
        <v>3</v>
      </c>
      <c r="C4" t="s">
        <v>94</v>
      </c>
      <c r="E4" t="s">
        <v>195</v>
      </c>
      <c r="F4">
        <v>18</v>
      </c>
    </row>
    <row r="5" spans="2:6">
      <c r="B5">
        <v>4</v>
      </c>
      <c r="C5" t="s">
        <v>95</v>
      </c>
      <c r="E5" t="s">
        <v>196</v>
      </c>
      <c r="F5">
        <v>237</v>
      </c>
    </row>
    <row r="6" spans="2:6">
      <c r="B6">
        <v>5</v>
      </c>
      <c r="C6" t="s">
        <v>96</v>
      </c>
      <c r="E6" t="s">
        <v>197</v>
      </c>
      <c r="F6">
        <v>24</v>
      </c>
    </row>
    <row r="7" spans="2:6">
      <c r="B7">
        <v>6</v>
      </c>
      <c r="C7" t="s">
        <v>97</v>
      </c>
      <c r="E7" t="s">
        <v>198</v>
      </c>
      <c r="F7">
        <v>264</v>
      </c>
    </row>
    <row r="8" spans="2:6">
      <c r="B8">
        <v>7</v>
      </c>
      <c r="C8" t="s">
        <v>98</v>
      </c>
      <c r="E8" t="s">
        <v>199</v>
      </c>
      <c r="F8">
        <v>533</v>
      </c>
    </row>
    <row r="9" spans="2:6">
      <c r="B9">
        <v>8</v>
      </c>
      <c r="C9" t="s">
        <v>99</v>
      </c>
      <c r="E9" t="s">
        <v>200</v>
      </c>
      <c r="F9">
        <v>24</v>
      </c>
    </row>
    <row r="10" spans="2:6">
      <c r="B10">
        <v>9</v>
      </c>
      <c r="C10" t="s">
        <v>100</v>
      </c>
      <c r="E10" t="s">
        <v>201</v>
      </c>
      <c r="F10">
        <v>279</v>
      </c>
    </row>
    <row r="11" spans="2:6">
      <c r="B11">
        <v>10</v>
      </c>
      <c r="C11" t="s">
        <v>101</v>
      </c>
      <c r="E11" t="s">
        <v>202</v>
      </c>
      <c r="F11">
        <v>118</v>
      </c>
    </row>
    <row r="12" spans="2:6">
      <c r="B12">
        <v>11</v>
      </c>
      <c r="C12" t="s">
        <v>102</v>
      </c>
      <c r="E12" t="s">
        <v>203</v>
      </c>
      <c r="F12">
        <v>12</v>
      </c>
    </row>
    <row r="13" spans="2:6">
      <c r="B13">
        <v>12</v>
      </c>
      <c r="C13" t="s">
        <v>103</v>
      </c>
      <c r="E13" t="s">
        <v>204</v>
      </c>
      <c r="F13">
        <v>372</v>
      </c>
    </row>
    <row r="14" spans="5:6">
      <c r="E14" t="s">
        <v>205</v>
      </c>
      <c r="F14">
        <v>38</v>
      </c>
    </row>
    <row r="15" spans="5:6">
      <c r="E15" t="s">
        <v>206</v>
      </c>
      <c r="F15">
        <v>14</v>
      </c>
    </row>
    <row r="16" spans="5:6">
      <c r="E16" t="s">
        <v>207</v>
      </c>
      <c r="F16">
        <v>3</v>
      </c>
    </row>
    <row r="17" spans="5:6">
      <c r="E17" t="s">
        <v>208</v>
      </c>
      <c r="F17">
        <v>7</v>
      </c>
    </row>
    <row r="18" spans="5:6">
      <c r="E18" t="s">
        <v>209</v>
      </c>
      <c r="F18">
        <v>6</v>
      </c>
    </row>
    <row r="19" spans="5:6">
      <c r="E19" t="s">
        <v>210</v>
      </c>
      <c r="F19">
        <v>4</v>
      </c>
    </row>
    <row r="20" spans="5:6">
      <c r="E20" t="s">
        <v>211</v>
      </c>
      <c r="F20">
        <v>1</v>
      </c>
    </row>
    <row r="21" spans="5:6">
      <c r="E21" t="s">
        <v>212</v>
      </c>
      <c r="F21">
        <v>5</v>
      </c>
    </row>
    <row r="22" spans="5:6">
      <c r="E22" t="s">
        <v>213</v>
      </c>
      <c r="F22">
        <v>1</v>
      </c>
    </row>
    <row r="23" spans="5:6">
      <c r="E23" t="s">
        <v>214</v>
      </c>
      <c r="F23">
        <v>45</v>
      </c>
    </row>
    <row r="24" spans="5:6">
      <c r="E24" t="s">
        <v>215</v>
      </c>
      <c r="F24">
        <v>5</v>
      </c>
    </row>
    <row r="25" spans="5:6">
      <c r="E25" t="s">
        <v>216</v>
      </c>
      <c r="F25">
        <v>6</v>
      </c>
    </row>
  </sheetData>
  <pageMargins left="0.699305555555556" right="0.699305555555556" top="0.75" bottom="0.75" header="0.3" footer="0.3"/>
  <headerFooter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4"/>
  <dimension ref="A3:M62"/>
  <sheetViews>
    <sheetView workbookViewId="0">
      <selection activeCell="L4" sqref="L4"/>
    </sheetView>
  </sheetViews>
  <sheetFormatPr defaultColWidth="9" defaultRowHeight="13.5"/>
  <cols>
    <col min="1" max="1" width="42.8571428571429" customWidth="1"/>
    <col min="2" max="2" width="17" customWidth="1"/>
    <col min="6" max="6" width="11.1428571428571" style="23" customWidth="1"/>
    <col min="7" max="7" width="10.1428571428571" customWidth="1"/>
  </cols>
  <sheetData>
    <row r="3" spans="1:2">
      <c r="A3" t="s">
        <v>92</v>
      </c>
      <c r="B3" t="s">
        <v>90</v>
      </c>
    </row>
    <row r="4" spans="1:13">
      <c r="A4" s="2" t="s">
        <v>217</v>
      </c>
      <c r="B4">
        <v>1</v>
      </c>
      <c r="E4" t="str">
        <f>IF(ISERROR(VLOOKUP(A4,#REF!,15,FALSE)),"Not Found",VLOOKUP(A4,#REF!,15,FALSE))</f>
        <v>Not Found</v>
      </c>
      <c r="F4" s="23" t="str">
        <f t="shared" ref="F4:F61" si="0">IF(E4="Not Found","",E4*12)</f>
        <v/>
      </c>
      <c r="G4" s="23" t="str">
        <f t="shared" ref="G4:G61" si="1">IF(E4="Not Found","",F4/B4)</f>
        <v/>
      </c>
      <c r="L4" t="s">
        <v>217</v>
      </c>
      <c r="M4">
        <v>1</v>
      </c>
    </row>
    <row r="5" spans="1:13">
      <c r="A5" s="2" t="s">
        <v>218</v>
      </c>
      <c r="B5">
        <v>1</v>
      </c>
      <c r="E5" t="str">
        <f>IF(ISERROR(VLOOKUP(A5,#REF!,15,FALSE)),"Not Found",VLOOKUP(A5,#REF!,15,FALSE))</f>
        <v>Not Found</v>
      </c>
      <c r="F5" s="23" t="str">
        <f t="shared" si="0"/>
        <v/>
      </c>
      <c r="G5" s="23" t="str">
        <f t="shared" si="1"/>
        <v/>
      </c>
      <c r="L5" t="s">
        <v>218</v>
      </c>
      <c r="M5">
        <v>1</v>
      </c>
    </row>
    <row r="6" spans="1:13">
      <c r="A6" s="2" t="s">
        <v>219</v>
      </c>
      <c r="B6">
        <v>1</v>
      </c>
      <c r="E6" t="str">
        <f>IF(ISERROR(VLOOKUP(A6,#REF!,15,FALSE)),"Not Found",VLOOKUP(A6,#REF!,15,FALSE))</f>
        <v>Not Found</v>
      </c>
      <c r="F6" s="23" t="str">
        <f t="shared" si="0"/>
        <v/>
      </c>
      <c r="G6" s="23" t="str">
        <f t="shared" si="1"/>
        <v/>
      </c>
      <c r="L6" t="s">
        <v>219</v>
      </c>
      <c r="M6">
        <v>1</v>
      </c>
    </row>
    <row r="7" spans="1:13">
      <c r="A7" s="2" t="s">
        <v>192</v>
      </c>
      <c r="B7">
        <v>5</v>
      </c>
      <c r="E7" t="str">
        <f>IF(ISERROR(VLOOKUP(A7,#REF!,15,FALSE)),"Not Found",VLOOKUP(A7,#REF!,15,FALSE))</f>
        <v>Not Found</v>
      </c>
      <c r="F7" s="23" t="str">
        <f t="shared" si="0"/>
        <v/>
      </c>
      <c r="G7" s="23" t="str">
        <f t="shared" si="1"/>
        <v/>
      </c>
      <c r="L7" t="s">
        <v>192</v>
      </c>
      <c r="M7">
        <v>5</v>
      </c>
    </row>
    <row r="8" spans="1:13">
      <c r="A8" s="2" t="s">
        <v>220</v>
      </c>
      <c r="B8">
        <v>5</v>
      </c>
      <c r="E8" t="str">
        <f>IF(ISERROR(VLOOKUP(A8,#REF!,15,FALSE)),"Not Found",VLOOKUP(A8,#REF!,15,FALSE))</f>
        <v>Not Found</v>
      </c>
      <c r="F8" s="23" t="str">
        <f t="shared" si="0"/>
        <v/>
      </c>
      <c r="G8" s="23" t="str">
        <f t="shared" si="1"/>
        <v/>
      </c>
      <c r="L8" t="s">
        <v>220</v>
      </c>
      <c r="M8">
        <v>5</v>
      </c>
    </row>
    <row r="9" spans="1:13">
      <c r="A9" s="2" t="s">
        <v>194</v>
      </c>
      <c r="B9">
        <v>1</v>
      </c>
      <c r="E9" t="str">
        <f>IF(ISERROR(VLOOKUP(A9,#REF!,15,FALSE)),"Not Found",VLOOKUP(A9,#REF!,15,FALSE))</f>
        <v>Not Found</v>
      </c>
      <c r="F9" s="23" t="str">
        <f t="shared" si="0"/>
        <v/>
      </c>
      <c r="G9" s="23" t="str">
        <f t="shared" si="1"/>
        <v/>
      </c>
      <c r="L9" t="s">
        <v>194</v>
      </c>
      <c r="M9">
        <v>1</v>
      </c>
    </row>
    <row r="10" spans="1:13">
      <c r="A10" s="2" t="s">
        <v>195</v>
      </c>
      <c r="B10">
        <v>232</v>
      </c>
      <c r="E10" t="str">
        <f>IF(ISERROR(VLOOKUP(A10,#REF!,15,FALSE)),"Not Found",VLOOKUP(A10,#REF!,15,FALSE))</f>
        <v>Not Found</v>
      </c>
      <c r="F10" s="23" t="str">
        <f t="shared" si="0"/>
        <v/>
      </c>
      <c r="G10" s="23" t="str">
        <f t="shared" si="1"/>
        <v/>
      </c>
      <c r="L10" t="s">
        <v>195</v>
      </c>
      <c r="M10">
        <v>232</v>
      </c>
    </row>
    <row r="11" spans="1:13">
      <c r="A11" s="2" t="s">
        <v>221</v>
      </c>
      <c r="B11">
        <v>10</v>
      </c>
      <c r="E11" t="str">
        <f>IF(ISERROR(VLOOKUP(A11,#REF!,15,FALSE)),"Not Found",VLOOKUP(A11,#REF!,15,FALSE))</f>
        <v>Not Found</v>
      </c>
      <c r="F11" s="23" t="str">
        <f t="shared" si="0"/>
        <v/>
      </c>
      <c r="G11" s="23" t="str">
        <f t="shared" si="1"/>
        <v/>
      </c>
      <c r="L11" t="s">
        <v>221</v>
      </c>
      <c r="M11">
        <v>10</v>
      </c>
    </row>
    <row r="12" spans="1:13">
      <c r="A12" s="2" t="s">
        <v>196</v>
      </c>
      <c r="B12">
        <v>1</v>
      </c>
      <c r="E12" t="str">
        <f>IF(ISERROR(VLOOKUP(A12,#REF!,15,FALSE)),"Not Found",VLOOKUP(A12,#REF!,15,FALSE))</f>
        <v>Not Found</v>
      </c>
      <c r="F12" s="23" t="str">
        <f t="shared" si="0"/>
        <v/>
      </c>
      <c r="G12" s="23" t="str">
        <f t="shared" si="1"/>
        <v/>
      </c>
      <c r="L12" t="s">
        <v>196</v>
      </c>
      <c r="M12">
        <v>1</v>
      </c>
    </row>
    <row r="13" spans="1:13">
      <c r="A13" s="2" t="s">
        <v>197</v>
      </c>
      <c r="B13">
        <v>42</v>
      </c>
      <c r="E13" t="str">
        <f>IF(ISERROR(VLOOKUP(A13,#REF!,15,FALSE)),"Not Found",VLOOKUP(A13,#REF!,15,FALSE))</f>
        <v>Not Found</v>
      </c>
      <c r="F13" s="23" t="str">
        <f t="shared" si="0"/>
        <v/>
      </c>
      <c r="G13" s="23" t="str">
        <f t="shared" si="1"/>
        <v/>
      </c>
      <c r="L13" t="s">
        <v>197</v>
      </c>
      <c r="M13">
        <v>42</v>
      </c>
    </row>
    <row r="14" spans="1:13">
      <c r="A14" s="2" t="s">
        <v>222</v>
      </c>
      <c r="B14">
        <v>22</v>
      </c>
      <c r="E14" t="str">
        <f>IF(ISERROR(VLOOKUP(A14,#REF!,15,FALSE)),"Not Found",VLOOKUP(A14,#REF!,15,FALSE))</f>
        <v>Not Found</v>
      </c>
      <c r="F14" s="23" t="str">
        <f t="shared" si="0"/>
        <v/>
      </c>
      <c r="G14" s="23" t="str">
        <f t="shared" si="1"/>
        <v/>
      </c>
      <c r="L14" t="s">
        <v>222</v>
      </c>
      <c r="M14">
        <v>22</v>
      </c>
    </row>
    <row r="15" spans="1:13">
      <c r="A15" s="2" t="s">
        <v>198</v>
      </c>
      <c r="B15">
        <v>24</v>
      </c>
      <c r="E15" t="str">
        <f>IF(ISERROR(VLOOKUP(A15,#REF!,15,FALSE)),"Not Found",VLOOKUP(A15,#REF!,15,FALSE))</f>
        <v>Not Found</v>
      </c>
      <c r="F15" s="23" t="str">
        <f t="shared" si="0"/>
        <v/>
      </c>
      <c r="G15" s="23" t="str">
        <f t="shared" si="1"/>
        <v/>
      </c>
      <c r="L15" t="s">
        <v>198</v>
      </c>
      <c r="M15">
        <v>24</v>
      </c>
    </row>
    <row r="16" spans="1:13">
      <c r="A16" s="2" t="s">
        <v>199</v>
      </c>
      <c r="B16">
        <v>7</v>
      </c>
      <c r="E16" t="str">
        <f>IF(ISERROR(VLOOKUP(A16,#REF!,15,FALSE)),"Not Found",VLOOKUP(A16,#REF!,15,FALSE))</f>
        <v>Not Found</v>
      </c>
      <c r="F16" s="23" t="str">
        <f t="shared" si="0"/>
        <v/>
      </c>
      <c r="G16" s="23" t="str">
        <f t="shared" si="1"/>
        <v/>
      </c>
      <c r="L16" t="s">
        <v>199</v>
      </c>
      <c r="M16">
        <v>7</v>
      </c>
    </row>
    <row r="17" spans="1:13">
      <c r="A17" s="2" t="s">
        <v>200</v>
      </c>
      <c r="B17">
        <v>2</v>
      </c>
      <c r="E17" t="str">
        <f>IF(ISERROR(VLOOKUP(A17,#REF!,15,FALSE)),"Not Found",VLOOKUP(A17,#REF!,15,FALSE))</f>
        <v>Not Found</v>
      </c>
      <c r="F17" s="23" t="str">
        <f t="shared" si="0"/>
        <v/>
      </c>
      <c r="G17" s="23" t="str">
        <f t="shared" si="1"/>
        <v/>
      </c>
      <c r="L17" t="s">
        <v>200</v>
      </c>
      <c r="M17">
        <v>2</v>
      </c>
    </row>
    <row r="18" spans="1:13">
      <c r="A18" s="2" t="s">
        <v>223</v>
      </c>
      <c r="B18">
        <v>1</v>
      </c>
      <c r="E18" t="str">
        <f>IF(ISERROR(VLOOKUP(A18,#REF!,15,FALSE)),"Not Found",VLOOKUP(A18,#REF!,15,FALSE))</f>
        <v>Not Found</v>
      </c>
      <c r="F18" s="23" t="str">
        <f t="shared" si="0"/>
        <v/>
      </c>
      <c r="G18" s="23" t="str">
        <f t="shared" si="1"/>
        <v/>
      </c>
      <c r="L18" t="s">
        <v>223</v>
      </c>
      <c r="M18">
        <v>1</v>
      </c>
    </row>
    <row r="19" spans="1:13">
      <c r="A19" s="2" t="s">
        <v>201</v>
      </c>
      <c r="B19">
        <v>100</v>
      </c>
      <c r="E19" t="str">
        <f>IF(ISERROR(VLOOKUP(A19,#REF!,15,FALSE)),"Not Found",VLOOKUP(A19,#REF!,15,FALSE))</f>
        <v>Not Found</v>
      </c>
      <c r="F19" s="23" t="str">
        <f t="shared" si="0"/>
        <v/>
      </c>
      <c r="G19" s="23" t="str">
        <f t="shared" si="1"/>
        <v/>
      </c>
      <c r="L19" t="s">
        <v>201</v>
      </c>
      <c r="M19">
        <v>100</v>
      </c>
    </row>
    <row r="20" spans="1:13">
      <c r="A20" s="2" t="s">
        <v>202</v>
      </c>
      <c r="B20">
        <v>2</v>
      </c>
      <c r="E20" t="str">
        <f>IF(ISERROR(VLOOKUP(A20,#REF!,15,FALSE)),"Not Found",VLOOKUP(A20,#REF!,15,FALSE))</f>
        <v>Not Found</v>
      </c>
      <c r="F20" s="23" t="str">
        <f t="shared" si="0"/>
        <v/>
      </c>
      <c r="G20" s="23" t="str">
        <f t="shared" si="1"/>
        <v/>
      </c>
      <c r="L20" t="s">
        <v>202</v>
      </c>
      <c r="M20">
        <v>2</v>
      </c>
    </row>
    <row r="21" spans="1:13">
      <c r="A21" s="2" t="s">
        <v>203</v>
      </c>
      <c r="B21">
        <v>9</v>
      </c>
      <c r="E21" t="str">
        <f>IF(ISERROR(VLOOKUP(A21,#REF!,15,FALSE)),"Not Found",VLOOKUP(A21,#REF!,15,FALSE))</f>
        <v>Not Found</v>
      </c>
      <c r="F21" s="23" t="str">
        <f t="shared" si="0"/>
        <v/>
      </c>
      <c r="G21" s="23" t="str">
        <f t="shared" si="1"/>
        <v/>
      </c>
      <c r="L21" t="s">
        <v>203</v>
      </c>
      <c r="M21">
        <v>9</v>
      </c>
    </row>
    <row r="22" spans="1:13">
      <c r="A22" s="2" t="s">
        <v>204</v>
      </c>
      <c r="B22">
        <v>283</v>
      </c>
      <c r="E22" t="str">
        <f>IF(ISERROR(VLOOKUP(A22,#REF!,15,FALSE)),"Not Found",VLOOKUP(A22,#REF!,15,FALSE))</f>
        <v>Not Found</v>
      </c>
      <c r="F22" s="23" t="str">
        <f t="shared" si="0"/>
        <v/>
      </c>
      <c r="G22" s="23" t="str">
        <f t="shared" si="1"/>
        <v/>
      </c>
      <c r="L22" t="s">
        <v>204</v>
      </c>
      <c r="M22">
        <v>283</v>
      </c>
    </row>
    <row r="23" spans="1:13">
      <c r="A23" s="2" t="s">
        <v>205</v>
      </c>
      <c r="B23">
        <v>11</v>
      </c>
      <c r="E23" t="str">
        <f>IF(ISERROR(VLOOKUP(A23,#REF!,15,FALSE)),"Not Found",VLOOKUP(A23,#REF!,15,FALSE))</f>
        <v>Not Found</v>
      </c>
      <c r="F23" s="23" t="str">
        <f t="shared" si="0"/>
        <v/>
      </c>
      <c r="G23" s="23" t="str">
        <f t="shared" si="1"/>
        <v/>
      </c>
      <c r="L23" t="s">
        <v>205</v>
      </c>
      <c r="M23">
        <v>11</v>
      </c>
    </row>
    <row r="24" spans="1:13">
      <c r="A24" s="2" t="s">
        <v>224</v>
      </c>
      <c r="B24">
        <v>1</v>
      </c>
      <c r="E24" t="str">
        <f>IF(ISERROR(VLOOKUP(A24,#REF!,15,FALSE)),"Not Found",VLOOKUP(A24,#REF!,15,FALSE))</f>
        <v>Not Found</v>
      </c>
      <c r="F24" s="23" t="str">
        <f t="shared" si="0"/>
        <v/>
      </c>
      <c r="G24" s="23" t="str">
        <f t="shared" si="1"/>
        <v/>
      </c>
      <c r="L24" t="s">
        <v>224</v>
      </c>
      <c r="M24">
        <v>1</v>
      </c>
    </row>
    <row r="25" spans="1:13">
      <c r="A25" s="2" t="s">
        <v>206</v>
      </c>
      <c r="B25">
        <v>75</v>
      </c>
      <c r="E25" t="str">
        <f>IF(ISERROR(VLOOKUP(A25,#REF!,15,FALSE)),"Not Found",VLOOKUP(A25,#REF!,15,FALSE))</f>
        <v>Not Found</v>
      </c>
      <c r="F25" s="23" t="str">
        <f t="shared" si="0"/>
        <v/>
      </c>
      <c r="G25" s="23" t="str">
        <f t="shared" si="1"/>
        <v/>
      </c>
      <c r="L25" t="s">
        <v>206</v>
      </c>
      <c r="M25">
        <v>75</v>
      </c>
    </row>
    <row r="26" spans="1:13">
      <c r="A26" s="2" t="s">
        <v>207</v>
      </c>
      <c r="B26">
        <v>19</v>
      </c>
      <c r="E26" t="str">
        <f>IF(ISERROR(VLOOKUP(A26,#REF!,15,FALSE)),"Not Found",VLOOKUP(A26,#REF!,15,FALSE))</f>
        <v>Not Found</v>
      </c>
      <c r="F26" s="23" t="str">
        <f t="shared" si="0"/>
        <v/>
      </c>
      <c r="G26" s="23" t="str">
        <f t="shared" si="1"/>
        <v/>
      </c>
      <c r="L26" t="s">
        <v>207</v>
      </c>
      <c r="M26">
        <v>19</v>
      </c>
    </row>
    <row r="27" spans="1:13">
      <c r="A27" s="2" t="s">
        <v>225</v>
      </c>
      <c r="B27">
        <v>15</v>
      </c>
      <c r="E27" t="str">
        <f>IF(ISERROR(VLOOKUP(A27,#REF!,15,FALSE)),"Not Found",VLOOKUP(A27,#REF!,15,FALSE))</f>
        <v>Not Found</v>
      </c>
      <c r="F27" s="23" t="str">
        <f t="shared" si="0"/>
        <v/>
      </c>
      <c r="G27" s="23" t="str">
        <f t="shared" si="1"/>
        <v/>
      </c>
      <c r="L27" t="s">
        <v>225</v>
      </c>
      <c r="M27">
        <v>15</v>
      </c>
    </row>
    <row r="28" spans="1:13">
      <c r="A28" s="2" t="s">
        <v>208</v>
      </c>
      <c r="B28">
        <v>10</v>
      </c>
      <c r="E28" t="str">
        <f>IF(ISERROR(VLOOKUP(A28,#REF!,15,FALSE)),"Not Found",VLOOKUP(A28,#REF!,15,FALSE))</f>
        <v>Not Found</v>
      </c>
      <c r="F28" s="23" t="str">
        <f t="shared" si="0"/>
        <v/>
      </c>
      <c r="G28" s="23" t="str">
        <f t="shared" si="1"/>
        <v/>
      </c>
      <c r="L28" t="s">
        <v>208</v>
      </c>
      <c r="M28">
        <v>10</v>
      </c>
    </row>
    <row r="29" spans="1:13">
      <c r="A29" s="2" t="s">
        <v>226</v>
      </c>
      <c r="B29">
        <v>1</v>
      </c>
      <c r="E29" t="str">
        <f>IF(ISERROR(VLOOKUP(A29,#REF!,15,FALSE)),"Not Found",VLOOKUP(A29,#REF!,15,FALSE))</f>
        <v>Not Found</v>
      </c>
      <c r="F29" s="23" t="str">
        <f t="shared" si="0"/>
        <v/>
      </c>
      <c r="G29" s="23" t="str">
        <f t="shared" si="1"/>
        <v/>
      </c>
      <c r="L29" t="s">
        <v>226</v>
      </c>
      <c r="M29">
        <v>1</v>
      </c>
    </row>
    <row r="30" spans="1:13">
      <c r="A30" s="2" t="s">
        <v>210</v>
      </c>
      <c r="B30">
        <v>1</v>
      </c>
      <c r="E30" t="str">
        <f>IF(ISERROR(VLOOKUP(A30,#REF!,15,FALSE)),"Not Found",VLOOKUP(A30,#REF!,15,FALSE))</f>
        <v>Not Found</v>
      </c>
      <c r="F30" s="23" t="str">
        <f t="shared" si="0"/>
        <v/>
      </c>
      <c r="G30" s="23" t="str">
        <f t="shared" si="1"/>
        <v/>
      </c>
      <c r="L30" t="s">
        <v>210</v>
      </c>
      <c r="M30">
        <v>1</v>
      </c>
    </row>
    <row r="31" spans="1:13">
      <c r="A31" s="2" t="s">
        <v>211</v>
      </c>
      <c r="B31">
        <v>2</v>
      </c>
      <c r="E31" t="str">
        <f>IF(ISERROR(VLOOKUP(A31,#REF!,15,FALSE)),"Not Found",VLOOKUP(A31,#REF!,15,FALSE))</f>
        <v>Not Found</v>
      </c>
      <c r="F31" s="23" t="str">
        <f t="shared" si="0"/>
        <v/>
      </c>
      <c r="G31" s="23" t="str">
        <f t="shared" si="1"/>
        <v/>
      </c>
      <c r="L31" t="s">
        <v>211</v>
      </c>
      <c r="M31">
        <v>2</v>
      </c>
    </row>
    <row r="32" spans="1:13">
      <c r="A32" s="2" t="s">
        <v>227</v>
      </c>
      <c r="B32">
        <v>6</v>
      </c>
      <c r="E32" t="str">
        <f>IF(ISERROR(VLOOKUP(A32,#REF!,15,FALSE)),"Not Found",VLOOKUP(A32,#REF!,15,FALSE))</f>
        <v>Not Found</v>
      </c>
      <c r="F32" s="23" t="str">
        <f t="shared" si="0"/>
        <v/>
      </c>
      <c r="G32" s="23" t="str">
        <f t="shared" si="1"/>
        <v/>
      </c>
      <c r="L32" t="s">
        <v>227</v>
      </c>
      <c r="M32">
        <v>6</v>
      </c>
    </row>
    <row r="33" spans="1:13">
      <c r="A33" s="2" t="s">
        <v>228</v>
      </c>
      <c r="B33">
        <v>1</v>
      </c>
      <c r="E33" t="str">
        <f>IF(ISERROR(VLOOKUP(A33,#REF!,15,FALSE)),"Not Found",VLOOKUP(A33,#REF!,15,FALSE))</f>
        <v>Not Found</v>
      </c>
      <c r="F33" s="23" t="str">
        <f t="shared" si="0"/>
        <v/>
      </c>
      <c r="G33" s="23" t="str">
        <f t="shared" si="1"/>
        <v/>
      </c>
      <c r="L33" t="s">
        <v>228</v>
      </c>
      <c r="M33">
        <v>1</v>
      </c>
    </row>
    <row r="34" spans="1:13">
      <c r="A34" s="2" t="s">
        <v>229</v>
      </c>
      <c r="B34">
        <v>4</v>
      </c>
      <c r="E34" t="str">
        <f>IF(ISERROR(VLOOKUP(A34,#REF!,15,FALSE)),"Not Found",VLOOKUP(A34,#REF!,15,FALSE))</f>
        <v>Not Found</v>
      </c>
      <c r="F34" s="23" t="str">
        <f t="shared" si="0"/>
        <v/>
      </c>
      <c r="G34" s="23" t="str">
        <f t="shared" si="1"/>
        <v/>
      </c>
      <c r="L34" t="s">
        <v>229</v>
      </c>
      <c r="M34">
        <v>4</v>
      </c>
    </row>
    <row r="35" spans="1:13">
      <c r="A35" s="2" t="s">
        <v>213</v>
      </c>
      <c r="B35">
        <v>2</v>
      </c>
      <c r="E35" t="str">
        <f>IF(ISERROR(VLOOKUP(A35,#REF!,15,FALSE)),"Not Found",VLOOKUP(A35,#REF!,15,FALSE))</f>
        <v>Not Found</v>
      </c>
      <c r="F35" s="23" t="str">
        <f t="shared" si="0"/>
        <v/>
      </c>
      <c r="G35" s="23" t="str">
        <f t="shared" si="1"/>
        <v/>
      </c>
      <c r="L35" t="s">
        <v>213</v>
      </c>
      <c r="M35">
        <v>2</v>
      </c>
    </row>
    <row r="36" spans="1:13">
      <c r="A36" s="2" t="s">
        <v>230</v>
      </c>
      <c r="B36">
        <v>1</v>
      </c>
      <c r="E36" t="str">
        <f>IF(ISERROR(VLOOKUP(A36,#REF!,15,FALSE)),"Not Found",VLOOKUP(A36,#REF!,15,FALSE))</f>
        <v>Not Found</v>
      </c>
      <c r="F36" s="23" t="str">
        <f t="shared" si="0"/>
        <v/>
      </c>
      <c r="G36" s="23" t="str">
        <f t="shared" si="1"/>
        <v/>
      </c>
      <c r="L36" t="s">
        <v>230</v>
      </c>
      <c r="M36">
        <v>1</v>
      </c>
    </row>
    <row r="37" spans="1:13">
      <c r="A37" s="2" t="s">
        <v>214</v>
      </c>
      <c r="B37">
        <v>386</v>
      </c>
      <c r="E37" t="str">
        <f>IF(ISERROR(VLOOKUP(A37,#REF!,15,FALSE)),"Not Found",VLOOKUP(A37,#REF!,15,FALSE))</f>
        <v>Not Found</v>
      </c>
      <c r="F37" s="23" t="str">
        <f t="shared" si="0"/>
        <v/>
      </c>
      <c r="G37" s="23" t="str">
        <f t="shared" si="1"/>
        <v/>
      </c>
      <c r="L37" t="s">
        <v>214</v>
      </c>
      <c r="M37">
        <v>386</v>
      </c>
    </row>
    <row r="38" spans="1:13">
      <c r="A38" s="2" t="s">
        <v>231</v>
      </c>
      <c r="B38">
        <v>1</v>
      </c>
      <c r="E38" t="str">
        <f>IF(ISERROR(VLOOKUP(A38,#REF!,15,FALSE)),"Not Found",VLOOKUP(A38,#REF!,15,FALSE))</f>
        <v>Not Found</v>
      </c>
      <c r="F38" s="23" t="str">
        <f t="shared" si="0"/>
        <v/>
      </c>
      <c r="G38" s="23" t="str">
        <f t="shared" si="1"/>
        <v/>
      </c>
      <c r="L38" t="s">
        <v>231</v>
      </c>
      <c r="M38">
        <v>1</v>
      </c>
    </row>
    <row r="39" spans="1:13">
      <c r="A39" s="2" t="s">
        <v>232</v>
      </c>
      <c r="B39">
        <v>2</v>
      </c>
      <c r="E39" t="str">
        <f>IF(ISERROR(VLOOKUP(A39,#REF!,15,FALSE)),"Not Found",VLOOKUP(A39,#REF!,15,FALSE))</f>
        <v>Not Found</v>
      </c>
      <c r="F39" s="23" t="str">
        <f t="shared" si="0"/>
        <v/>
      </c>
      <c r="G39" s="23" t="str">
        <f t="shared" si="1"/>
        <v/>
      </c>
      <c r="L39" t="s">
        <v>232</v>
      </c>
      <c r="M39">
        <v>2</v>
      </c>
    </row>
    <row r="40" spans="1:13">
      <c r="A40" s="2" t="s">
        <v>215</v>
      </c>
      <c r="B40">
        <v>2199</v>
      </c>
      <c r="E40" t="str">
        <f>IF(ISERROR(VLOOKUP(A40,#REF!,15,FALSE)),"Not Found",VLOOKUP(A40,#REF!,15,FALSE))</f>
        <v>Not Found</v>
      </c>
      <c r="F40" s="23" t="str">
        <f t="shared" si="0"/>
        <v/>
      </c>
      <c r="G40" s="23" t="str">
        <f t="shared" si="1"/>
        <v/>
      </c>
      <c r="L40" t="s">
        <v>215</v>
      </c>
      <c r="M40">
        <v>2199</v>
      </c>
    </row>
    <row r="41" spans="1:13">
      <c r="A41" s="2" t="s">
        <v>216</v>
      </c>
      <c r="B41">
        <v>2</v>
      </c>
      <c r="E41" t="str">
        <f>IF(ISERROR(VLOOKUP(A41,#REF!,15,FALSE)),"Not Found",VLOOKUP(A41,#REF!,15,FALSE))</f>
        <v>Not Found</v>
      </c>
      <c r="F41" s="23" t="str">
        <f t="shared" si="0"/>
        <v/>
      </c>
      <c r="G41" s="23" t="str">
        <f t="shared" si="1"/>
        <v/>
      </c>
      <c r="L41" t="s">
        <v>216</v>
      </c>
      <c r="M41">
        <v>2</v>
      </c>
    </row>
    <row r="42" spans="1:13">
      <c r="A42" s="2" t="s">
        <v>233</v>
      </c>
      <c r="B42">
        <v>2</v>
      </c>
      <c r="E42" t="str">
        <f>IF(ISERROR(VLOOKUP(A42,#REF!,15,FALSE)),"Not Found",VLOOKUP(A42,#REF!,15,FALSE))</f>
        <v>Not Found</v>
      </c>
      <c r="F42" s="23" t="str">
        <f t="shared" si="0"/>
        <v/>
      </c>
      <c r="G42" s="23" t="str">
        <f t="shared" si="1"/>
        <v/>
      </c>
      <c r="L42" t="s">
        <v>233</v>
      </c>
      <c r="M42">
        <v>2</v>
      </c>
    </row>
    <row r="43" spans="1:13">
      <c r="A43" s="2" t="s">
        <v>234</v>
      </c>
      <c r="B43">
        <v>1</v>
      </c>
      <c r="E43" t="str">
        <f>IF(ISERROR(VLOOKUP(A43,#REF!,15,FALSE)),"Not Found",VLOOKUP(A43,#REF!,15,FALSE))</f>
        <v>Not Found</v>
      </c>
      <c r="F43" s="23" t="str">
        <f t="shared" si="0"/>
        <v/>
      </c>
      <c r="G43" s="23" t="str">
        <f t="shared" si="1"/>
        <v/>
      </c>
      <c r="L43" t="s">
        <v>234</v>
      </c>
      <c r="M43">
        <v>1</v>
      </c>
    </row>
    <row r="44" spans="1:13">
      <c r="A44" s="2" t="s">
        <v>235</v>
      </c>
      <c r="B44">
        <v>13</v>
      </c>
      <c r="E44" t="str">
        <f>IF(ISERROR(VLOOKUP(A44,#REF!,15,FALSE)),"Not Found",VLOOKUP(A44,#REF!,15,FALSE))</f>
        <v>Not Found</v>
      </c>
      <c r="F44" s="23" t="str">
        <f t="shared" si="0"/>
        <v/>
      </c>
      <c r="G44" s="23" t="str">
        <f t="shared" si="1"/>
        <v/>
      </c>
      <c r="L44" t="s">
        <v>235</v>
      </c>
      <c r="M44">
        <v>13</v>
      </c>
    </row>
    <row r="45" spans="1:13">
      <c r="A45" s="2" t="s">
        <v>236</v>
      </c>
      <c r="B45">
        <v>1</v>
      </c>
      <c r="E45" t="str">
        <f>IF(ISERROR(VLOOKUP(A45,#REF!,15,FALSE)),"Not Found",VLOOKUP(A45,#REF!,15,FALSE))</f>
        <v>Not Found</v>
      </c>
      <c r="F45" s="23" t="str">
        <f t="shared" si="0"/>
        <v/>
      </c>
      <c r="G45" s="23" t="str">
        <f t="shared" si="1"/>
        <v/>
      </c>
      <c r="L45" t="s">
        <v>236</v>
      </c>
      <c r="M45">
        <v>1</v>
      </c>
    </row>
    <row r="46" spans="1:13">
      <c r="A46" s="2" t="s">
        <v>237</v>
      </c>
      <c r="B46">
        <v>1</v>
      </c>
      <c r="E46" t="str">
        <f>IF(ISERROR(VLOOKUP(A46,#REF!,15,FALSE)),"Not Found",VLOOKUP(A46,#REF!,15,FALSE))</f>
        <v>Not Found</v>
      </c>
      <c r="F46" s="23" t="str">
        <f t="shared" si="0"/>
        <v/>
      </c>
      <c r="G46" s="23" t="str">
        <f t="shared" si="1"/>
        <v/>
      </c>
      <c r="L46" t="s">
        <v>237</v>
      </c>
      <c r="M46">
        <v>1</v>
      </c>
    </row>
    <row r="47" spans="1:13">
      <c r="A47" s="2" t="s">
        <v>238</v>
      </c>
      <c r="B47">
        <v>1</v>
      </c>
      <c r="E47" t="str">
        <f>IF(ISERROR(VLOOKUP(A47,#REF!,15,FALSE)),"Not Found",VLOOKUP(A47,#REF!,15,FALSE))</f>
        <v>Not Found</v>
      </c>
      <c r="F47" s="23" t="str">
        <f t="shared" si="0"/>
        <v/>
      </c>
      <c r="G47" s="23" t="str">
        <f t="shared" si="1"/>
        <v/>
      </c>
      <c r="L47" t="s">
        <v>238</v>
      </c>
      <c r="M47">
        <v>1</v>
      </c>
    </row>
    <row r="48" spans="1:13">
      <c r="A48" s="2" t="s">
        <v>239</v>
      </c>
      <c r="B48">
        <v>2</v>
      </c>
      <c r="E48" t="str">
        <f>IF(ISERROR(VLOOKUP(A48,#REF!,15,FALSE)),"Not Found",VLOOKUP(A48,#REF!,15,FALSE))</f>
        <v>Not Found</v>
      </c>
      <c r="F48" s="23" t="str">
        <f t="shared" si="0"/>
        <v/>
      </c>
      <c r="G48" s="23" t="str">
        <f t="shared" si="1"/>
        <v/>
      </c>
      <c r="L48" t="s">
        <v>239</v>
      </c>
      <c r="M48">
        <v>2</v>
      </c>
    </row>
    <row r="49" spans="1:13">
      <c r="A49" s="2" t="s">
        <v>240</v>
      </c>
      <c r="B49">
        <v>1</v>
      </c>
      <c r="E49" t="str">
        <f>IF(ISERROR(VLOOKUP(A49,#REF!,15,FALSE)),"Not Found",VLOOKUP(A49,#REF!,15,FALSE))</f>
        <v>Not Found</v>
      </c>
      <c r="F49" s="23" t="str">
        <f t="shared" si="0"/>
        <v/>
      </c>
      <c r="G49" s="23" t="str">
        <f t="shared" si="1"/>
        <v/>
      </c>
      <c r="L49" t="s">
        <v>240</v>
      </c>
      <c r="M49">
        <v>1</v>
      </c>
    </row>
    <row r="50" spans="1:13">
      <c r="A50" s="2" t="s">
        <v>241</v>
      </c>
      <c r="B50">
        <v>1</v>
      </c>
      <c r="E50" t="str">
        <f>IF(ISERROR(VLOOKUP(A50,#REF!,15,FALSE)),"Not Found",VLOOKUP(A50,#REF!,15,FALSE))</f>
        <v>Not Found</v>
      </c>
      <c r="F50" s="23" t="str">
        <f t="shared" si="0"/>
        <v/>
      </c>
      <c r="G50" s="23" t="str">
        <f t="shared" si="1"/>
        <v/>
      </c>
      <c r="L50" t="s">
        <v>241</v>
      </c>
      <c r="M50">
        <v>1</v>
      </c>
    </row>
    <row r="51" spans="1:13">
      <c r="A51" s="2" t="s">
        <v>242</v>
      </c>
      <c r="B51">
        <v>1</v>
      </c>
      <c r="E51" t="str">
        <f>IF(ISERROR(VLOOKUP(A51,#REF!,15,FALSE)),"Not Found",VLOOKUP(A51,#REF!,15,FALSE))</f>
        <v>Not Found</v>
      </c>
      <c r="F51" s="23" t="str">
        <f t="shared" si="0"/>
        <v/>
      </c>
      <c r="G51" s="23" t="str">
        <f t="shared" si="1"/>
        <v/>
      </c>
      <c r="L51" t="s">
        <v>242</v>
      </c>
      <c r="M51">
        <v>1</v>
      </c>
    </row>
    <row r="52" spans="1:13">
      <c r="A52" s="2" t="s">
        <v>243</v>
      </c>
      <c r="B52">
        <v>1</v>
      </c>
      <c r="E52" t="str">
        <f>IF(ISERROR(VLOOKUP(A52,#REF!,15,FALSE)),"Not Found",VLOOKUP(A52,#REF!,15,FALSE))</f>
        <v>Not Found</v>
      </c>
      <c r="F52" s="23" t="str">
        <f t="shared" si="0"/>
        <v/>
      </c>
      <c r="G52" s="23" t="str">
        <f t="shared" si="1"/>
        <v/>
      </c>
      <c r="L52" t="s">
        <v>243</v>
      </c>
      <c r="M52">
        <v>1</v>
      </c>
    </row>
    <row r="53" spans="1:13">
      <c r="A53" s="2" t="s">
        <v>244</v>
      </c>
      <c r="B53">
        <v>1</v>
      </c>
      <c r="E53" t="str">
        <f>IF(ISERROR(VLOOKUP(A53,#REF!,15,FALSE)),"Not Found",VLOOKUP(A53,#REF!,15,FALSE))</f>
        <v>Not Found</v>
      </c>
      <c r="F53" s="23" t="str">
        <f t="shared" si="0"/>
        <v/>
      </c>
      <c r="G53" s="23" t="str">
        <f t="shared" si="1"/>
        <v/>
      </c>
      <c r="L53" t="s">
        <v>244</v>
      </c>
      <c r="M53">
        <v>1</v>
      </c>
    </row>
    <row r="54" spans="1:13">
      <c r="A54" s="2" t="s">
        <v>245</v>
      </c>
      <c r="B54">
        <v>1</v>
      </c>
      <c r="E54" t="str">
        <f>IF(ISERROR(VLOOKUP(A54,#REF!,15,FALSE)),"Not Found",VLOOKUP(A54,#REF!,15,FALSE))</f>
        <v>Not Found</v>
      </c>
      <c r="F54" s="23" t="str">
        <f t="shared" si="0"/>
        <v/>
      </c>
      <c r="G54" s="23" t="str">
        <f t="shared" si="1"/>
        <v/>
      </c>
      <c r="L54" t="s">
        <v>245</v>
      </c>
      <c r="M54">
        <v>1</v>
      </c>
    </row>
    <row r="55" spans="1:13">
      <c r="A55" s="2" t="s">
        <v>246</v>
      </c>
      <c r="B55">
        <v>2</v>
      </c>
      <c r="E55" t="str">
        <f>IF(ISERROR(VLOOKUP(A55,#REF!,15,FALSE)),"Not Found",VLOOKUP(A55,#REF!,15,FALSE))</f>
        <v>Not Found</v>
      </c>
      <c r="F55" s="23" t="str">
        <f t="shared" si="0"/>
        <v/>
      </c>
      <c r="G55" s="23" t="str">
        <f t="shared" si="1"/>
        <v/>
      </c>
      <c r="L55" t="s">
        <v>246</v>
      </c>
      <c r="M55">
        <v>2</v>
      </c>
    </row>
    <row r="56" spans="1:13">
      <c r="A56" s="2" t="s">
        <v>247</v>
      </c>
      <c r="B56">
        <v>3</v>
      </c>
      <c r="E56" t="str">
        <f>IF(ISERROR(VLOOKUP(A56,#REF!,15,FALSE)),"Not Found",VLOOKUP(A56,#REF!,15,FALSE))</f>
        <v>Not Found</v>
      </c>
      <c r="F56" s="23" t="str">
        <f t="shared" si="0"/>
        <v/>
      </c>
      <c r="G56" s="23" t="str">
        <f t="shared" si="1"/>
        <v/>
      </c>
      <c r="L56" t="s">
        <v>247</v>
      </c>
      <c r="M56">
        <v>3</v>
      </c>
    </row>
    <row r="57" spans="1:13">
      <c r="A57" s="2" t="s">
        <v>248</v>
      </c>
      <c r="B57">
        <v>3</v>
      </c>
      <c r="E57" t="str">
        <f>IF(ISERROR(VLOOKUP(A57,#REF!,15,FALSE)),"Not Found",VLOOKUP(A57,#REF!,15,FALSE))</f>
        <v>Not Found</v>
      </c>
      <c r="F57" s="23" t="str">
        <f t="shared" si="0"/>
        <v/>
      </c>
      <c r="G57" s="23" t="str">
        <f t="shared" si="1"/>
        <v/>
      </c>
      <c r="L57" t="s">
        <v>248</v>
      </c>
      <c r="M57">
        <v>3</v>
      </c>
    </row>
    <row r="58" spans="1:13">
      <c r="A58" s="2" t="s">
        <v>249</v>
      </c>
      <c r="B58">
        <v>1</v>
      </c>
      <c r="E58" t="str">
        <f>IF(ISERROR(VLOOKUP(A58,#REF!,15,FALSE)),"Not Found",VLOOKUP(A58,#REF!,15,FALSE))</f>
        <v>Not Found</v>
      </c>
      <c r="F58" s="23" t="str">
        <f t="shared" si="0"/>
        <v/>
      </c>
      <c r="G58" s="23" t="str">
        <f t="shared" si="1"/>
        <v/>
      </c>
      <c r="L58" t="s">
        <v>249</v>
      </c>
      <c r="M58">
        <v>1</v>
      </c>
    </row>
    <row r="59" spans="1:13">
      <c r="A59" s="2" t="s">
        <v>250</v>
      </c>
      <c r="B59">
        <v>1</v>
      </c>
      <c r="E59" t="str">
        <f>IF(ISERROR(VLOOKUP(A59,#REF!,15,FALSE)),"Not Found",VLOOKUP(A59,#REF!,15,FALSE))</f>
        <v>Not Found</v>
      </c>
      <c r="F59" s="23" t="str">
        <f t="shared" si="0"/>
        <v/>
      </c>
      <c r="G59" s="23" t="str">
        <f t="shared" si="1"/>
        <v/>
      </c>
      <c r="L59" t="s">
        <v>250</v>
      </c>
      <c r="M59">
        <v>1</v>
      </c>
    </row>
    <row r="60" spans="1:13">
      <c r="A60" s="2" t="s">
        <v>251</v>
      </c>
      <c r="B60">
        <v>1</v>
      </c>
      <c r="E60" t="str">
        <f>IF(ISERROR(VLOOKUP(A60,#REF!,15,FALSE)),"Not Found",VLOOKUP(A60,#REF!,15,FALSE))</f>
        <v>Not Found</v>
      </c>
      <c r="F60" s="23" t="str">
        <f t="shared" si="0"/>
        <v/>
      </c>
      <c r="G60" s="23" t="str">
        <f t="shared" si="1"/>
        <v/>
      </c>
      <c r="L60" t="s">
        <v>251</v>
      </c>
      <c r="M60">
        <v>1</v>
      </c>
    </row>
    <row r="61" spans="1:13">
      <c r="A61" s="2" t="s">
        <v>252</v>
      </c>
      <c r="B61">
        <v>1</v>
      </c>
      <c r="E61" t="str">
        <f>IF(ISERROR(VLOOKUP(A61,#REF!,15,FALSE)),"Not Found",VLOOKUP(A61,#REF!,15,FALSE))</f>
        <v>Not Found</v>
      </c>
      <c r="F61" s="23" t="str">
        <f t="shared" si="0"/>
        <v/>
      </c>
      <c r="G61" s="23" t="str">
        <f t="shared" si="1"/>
        <v/>
      </c>
      <c r="L61" t="s">
        <v>252</v>
      </c>
      <c r="M61">
        <v>1</v>
      </c>
    </row>
    <row r="62" spans="1:2">
      <c r="A62" s="2" t="s">
        <v>105</v>
      </c>
      <c r="B62">
        <v>3527</v>
      </c>
    </row>
  </sheetData>
  <pageMargins left="0.699305555555556" right="0.699305555555556" top="0.75" bottom="0.75" header="0.3" footer="0.3"/>
  <headerFooter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5"/>
  <dimension ref="A4:H33"/>
  <sheetViews>
    <sheetView workbookViewId="0">
      <selection activeCell="A4" sqref="A4:E11"/>
    </sheetView>
  </sheetViews>
  <sheetFormatPr defaultColWidth="9" defaultRowHeight="13.5" outlineLevelCol="7"/>
  <cols>
    <col min="1" max="1" width="33" customWidth="1"/>
    <col min="2" max="2" width="9.71428571428571" customWidth="1"/>
    <col min="3" max="3" width="12" customWidth="1"/>
    <col min="4" max="4" width="9.14285714285714" customWidth="1"/>
    <col min="5" max="5" width="13" customWidth="1"/>
    <col min="7" max="7" width="15.2857142857143" customWidth="1"/>
  </cols>
  <sheetData>
    <row r="4" spans="2:5">
      <c r="B4" s="14" t="s">
        <v>39</v>
      </c>
      <c r="C4" s="14" t="s">
        <v>40</v>
      </c>
      <c r="D4" s="14" t="s">
        <v>253</v>
      </c>
      <c r="E4" s="21" t="s">
        <v>254</v>
      </c>
    </row>
    <row r="5" spans="1:2">
      <c r="A5" s="2" t="s">
        <v>255</v>
      </c>
      <c r="B5">
        <v>285</v>
      </c>
    </row>
    <row r="6" spans="1:5">
      <c r="A6" s="2" t="s">
        <v>5</v>
      </c>
      <c r="B6">
        <v>201</v>
      </c>
      <c r="C6">
        <v>11</v>
      </c>
      <c r="D6">
        <v>190</v>
      </c>
      <c r="E6">
        <v>0</v>
      </c>
    </row>
    <row r="7" spans="1:5">
      <c r="A7" s="2" t="s">
        <v>6</v>
      </c>
      <c r="B7">
        <v>14</v>
      </c>
      <c r="C7">
        <v>0</v>
      </c>
      <c r="D7">
        <v>14</v>
      </c>
      <c r="E7">
        <v>0</v>
      </c>
    </row>
    <row r="8" spans="1:5">
      <c r="A8" s="2" t="s">
        <v>7</v>
      </c>
      <c r="B8">
        <v>55</v>
      </c>
      <c r="C8">
        <v>4</v>
      </c>
      <c r="D8">
        <v>51</v>
      </c>
      <c r="E8">
        <v>0</v>
      </c>
    </row>
    <row r="9" spans="1:5">
      <c r="A9" s="2" t="s">
        <v>9</v>
      </c>
      <c r="B9">
        <v>3</v>
      </c>
      <c r="C9">
        <v>0</v>
      </c>
      <c r="D9">
        <v>3</v>
      </c>
      <c r="E9">
        <v>0</v>
      </c>
    </row>
    <row r="10" spans="1:5">
      <c r="A10" s="2" t="s">
        <v>8</v>
      </c>
      <c r="B10">
        <v>12</v>
      </c>
      <c r="C10">
        <v>1</v>
      </c>
      <c r="D10">
        <v>10</v>
      </c>
      <c r="E10">
        <v>1</v>
      </c>
    </row>
    <row r="11" spans="1:5">
      <c r="A11" s="15" t="s">
        <v>10</v>
      </c>
      <c r="B11">
        <v>0</v>
      </c>
      <c r="C11">
        <v>0</v>
      </c>
      <c r="D11">
        <v>0</v>
      </c>
      <c r="E11">
        <v>0</v>
      </c>
    </row>
    <row r="12" spans="1:1">
      <c r="A12" s="15"/>
    </row>
    <row r="13" spans="1:1">
      <c r="A13" s="15"/>
    </row>
    <row r="14" spans="1:1">
      <c r="A14" s="15"/>
    </row>
    <row r="15" spans="1:1">
      <c r="A15" s="15"/>
    </row>
    <row r="16" spans="1:1">
      <c r="A16" s="15"/>
    </row>
    <row r="17" spans="1:1">
      <c r="A17" s="2"/>
    </row>
    <row r="23" spans="2:8">
      <c r="B23" s="16" t="s">
        <v>256</v>
      </c>
      <c r="C23" s="16" t="s">
        <v>5</v>
      </c>
      <c r="D23" s="16" t="s">
        <v>6</v>
      </c>
      <c r="E23" s="16" t="s">
        <v>7</v>
      </c>
      <c r="F23" s="16" t="s">
        <v>9</v>
      </c>
      <c r="G23" s="16" t="s">
        <v>8</v>
      </c>
      <c r="H23" s="16" t="s">
        <v>10</v>
      </c>
    </row>
    <row r="24" spans="2:8">
      <c r="B24" s="17" t="s">
        <v>257</v>
      </c>
      <c r="C24" s="18"/>
      <c r="D24" s="18"/>
      <c r="E24" s="22"/>
      <c r="F24" s="22"/>
      <c r="G24" s="18"/>
      <c r="H24" s="22"/>
    </row>
    <row r="25" spans="2:8">
      <c r="B25" s="17" t="s">
        <v>258</v>
      </c>
      <c r="C25" s="19">
        <v>4.36</v>
      </c>
      <c r="D25" s="19">
        <v>0</v>
      </c>
      <c r="E25" s="19">
        <v>3.05</v>
      </c>
      <c r="F25" s="18">
        <v>0</v>
      </c>
      <c r="G25" s="18">
        <v>0</v>
      </c>
      <c r="H25" s="18">
        <v>0</v>
      </c>
    </row>
    <row r="26" spans="2:8">
      <c r="B26" s="17" t="s">
        <v>259</v>
      </c>
      <c r="C26" s="19">
        <v>12</v>
      </c>
      <c r="D26" s="19">
        <v>7.228</v>
      </c>
      <c r="E26" s="19">
        <v>6.583</v>
      </c>
      <c r="F26" s="18">
        <v>4.12</v>
      </c>
      <c r="G26" s="18">
        <v>11.35</v>
      </c>
      <c r="H26" s="18">
        <v>0</v>
      </c>
    </row>
    <row r="27" spans="2:8">
      <c r="B27" s="17" t="s">
        <v>260</v>
      </c>
      <c r="C27" s="19">
        <v>33.48</v>
      </c>
      <c r="D27" s="19">
        <v>107.275</v>
      </c>
      <c r="E27" s="19">
        <v>60.65</v>
      </c>
      <c r="F27" s="18">
        <v>0</v>
      </c>
      <c r="G27" s="18">
        <v>24.49</v>
      </c>
      <c r="H27" s="18">
        <v>0</v>
      </c>
    </row>
    <row r="28" ht="15" customHeight="1" spans="2:5">
      <c r="B28" s="20"/>
      <c r="C28" s="20"/>
      <c r="D28" s="20"/>
      <c r="E28" s="20"/>
    </row>
    <row r="29" spans="2:8">
      <c r="B29" s="17" t="s">
        <v>40</v>
      </c>
      <c r="C29" s="16" t="s">
        <v>5</v>
      </c>
      <c r="D29" s="16" t="s">
        <v>6</v>
      </c>
      <c r="E29" s="16" t="s">
        <v>7</v>
      </c>
      <c r="F29" s="16" t="s">
        <v>9</v>
      </c>
      <c r="G29" s="16" t="s">
        <v>8</v>
      </c>
      <c r="H29" s="16" t="s">
        <v>10</v>
      </c>
    </row>
    <row r="30" spans="2:8">
      <c r="B30" s="17" t="s">
        <v>257</v>
      </c>
      <c r="C30" s="18"/>
      <c r="D30" s="18"/>
      <c r="E30" s="22"/>
      <c r="F30" s="22"/>
      <c r="G30" s="18"/>
      <c r="H30" s="22"/>
    </row>
    <row r="31" spans="2:8">
      <c r="B31" s="17" t="s">
        <v>258</v>
      </c>
      <c r="C31" s="19">
        <v>4.36</v>
      </c>
      <c r="D31" s="19">
        <v>0</v>
      </c>
      <c r="E31" s="19">
        <v>3.05</v>
      </c>
      <c r="F31" s="18">
        <v>0</v>
      </c>
      <c r="G31" s="18">
        <v>0</v>
      </c>
      <c r="H31" s="18">
        <v>0</v>
      </c>
    </row>
    <row r="32" spans="2:8">
      <c r="B32" s="17" t="s">
        <v>259</v>
      </c>
      <c r="C32" s="19">
        <v>12</v>
      </c>
      <c r="D32" s="19">
        <v>7.228</v>
      </c>
      <c r="E32" s="19">
        <v>6.583</v>
      </c>
      <c r="F32" s="18">
        <v>4.12</v>
      </c>
      <c r="G32" s="18">
        <v>11.35</v>
      </c>
      <c r="H32" s="18">
        <v>0</v>
      </c>
    </row>
    <row r="33" spans="2:8">
      <c r="B33" s="17" t="s">
        <v>260</v>
      </c>
      <c r="C33" s="19">
        <v>33.48</v>
      </c>
      <c r="D33" s="19">
        <v>107.275</v>
      </c>
      <c r="E33" s="19">
        <v>60.65</v>
      </c>
      <c r="F33" s="18">
        <v>0</v>
      </c>
      <c r="G33" s="18">
        <v>24.49</v>
      </c>
      <c r="H33" s="18">
        <v>0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6"/>
  <dimension ref="A3:S17"/>
  <sheetViews>
    <sheetView zoomScale="90" zoomScaleNormal="90" workbookViewId="0">
      <selection activeCell="D12" sqref="D12"/>
    </sheetView>
  </sheetViews>
  <sheetFormatPr defaultColWidth="9" defaultRowHeight="12.75"/>
  <cols>
    <col min="1" max="1" width="30.1428571428571" style="4" customWidth="1"/>
    <col min="2" max="16384" width="9.14285714285714" style="4" customWidth="1"/>
  </cols>
  <sheetData>
    <row r="3" ht="13.5" customHeight="1" spans="1:9">
      <c r="A3" s="1" t="s">
        <v>261</v>
      </c>
      <c r="B3" s="13" t="s">
        <v>255</v>
      </c>
      <c r="C3" s="13">
        <v>42948</v>
      </c>
      <c r="D3" s="13">
        <v>42979</v>
      </c>
      <c r="E3" s="13"/>
      <c r="F3" s="13"/>
      <c r="G3" s="13"/>
      <c r="H3" s="13"/>
      <c r="I3" s="13"/>
    </row>
    <row r="4" ht="13.5" customHeight="1" spans="1:19">
      <c r="A4" s="1" t="s">
        <v>5</v>
      </c>
      <c r="B4">
        <v>512</v>
      </c>
      <c r="C4" s="4">
        <v>311</v>
      </c>
      <c r="D4" s="4">
        <v>201</v>
      </c>
      <c r="S4" s="7"/>
    </row>
    <row r="5" ht="13.5" customHeight="1" spans="1:19">
      <c r="A5" s="1" t="s">
        <v>6</v>
      </c>
      <c r="B5">
        <v>23</v>
      </c>
      <c r="C5" s="4">
        <v>9</v>
      </c>
      <c r="D5" s="4">
        <v>14</v>
      </c>
      <c r="S5" s="7"/>
    </row>
    <row r="6" ht="13.5" customHeight="1" spans="1:19">
      <c r="A6" s="1" t="s">
        <v>7</v>
      </c>
      <c r="B6">
        <v>99</v>
      </c>
      <c r="C6" s="4">
        <v>44</v>
      </c>
      <c r="D6" s="4">
        <v>55</v>
      </c>
      <c r="S6" s="7"/>
    </row>
    <row r="7" ht="13.5" customHeight="1" spans="1:19">
      <c r="A7" s="1" t="s">
        <v>9</v>
      </c>
      <c r="B7">
        <v>13</v>
      </c>
      <c r="C7" s="4">
        <v>10</v>
      </c>
      <c r="D7" s="4">
        <v>3</v>
      </c>
      <c r="S7" s="7"/>
    </row>
    <row r="8" ht="13.5" customHeight="1" spans="1:19">
      <c r="A8" s="1" t="s">
        <v>8</v>
      </c>
      <c r="B8">
        <v>19</v>
      </c>
      <c r="C8" s="4">
        <v>7</v>
      </c>
      <c r="D8" s="4">
        <v>12</v>
      </c>
      <c r="S8" s="7"/>
    </row>
    <row r="9" ht="13.5" customHeight="1" spans="1:19">
      <c r="A9" s="1" t="s">
        <v>10</v>
      </c>
      <c r="B9">
        <v>0</v>
      </c>
      <c r="C9" s="4">
        <v>0</v>
      </c>
      <c r="D9" s="4">
        <v>0</v>
      </c>
      <c r="S9" s="7"/>
    </row>
    <row r="10" spans="19:19">
      <c r="S10" s="7"/>
    </row>
    <row r="11" ht="13.5" customHeight="1" spans="1:19">
      <c r="A11" s="1" t="s">
        <v>261</v>
      </c>
      <c r="B11" s="13">
        <v>42995</v>
      </c>
      <c r="C11" s="13"/>
      <c r="S11" s="7"/>
    </row>
    <row r="12" ht="13.5" customHeight="1" spans="1:19">
      <c r="A12" s="1" t="s">
        <v>5</v>
      </c>
      <c r="B12">
        <v>201</v>
      </c>
      <c r="S12" s="7"/>
    </row>
    <row r="13" ht="13.5" customHeight="1" spans="1:19">
      <c r="A13" s="1" t="s">
        <v>6</v>
      </c>
      <c r="B13">
        <v>14</v>
      </c>
      <c r="S13" s="7"/>
    </row>
    <row r="14" ht="13.5" customHeight="1" spans="1:19">
      <c r="A14" s="1" t="s">
        <v>7</v>
      </c>
      <c r="B14">
        <v>55</v>
      </c>
      <c r="S14" s="7"/>
    </row>
    <row r="15" ht="13.5" customHeight="1" spans="1:19">
      <c r="A15" s="1" t="s">
        <v>9</v>
      </c>
      <c r="B15">
        <v>3</v>
      </c>
      <c r="S15" s="7"/>
    </row>
    <row r="16" ht="13.5" customHeight="1" spans="1:2">
      <c r="A16" s="1" t="s">
        <v>8</v>
      </c>
      <c r="B16">
        <v>12</v>
      </c>
    </row>
    <row r="17" ht="13.5" customHeight="1" spans="1:2">
      <c r="A17" s="1" t="s">
        <v>10</v>
      </c>
      <c r="B17">
        <v>0</v>
      </c>
    </row>
  </sheetData>
  <pageMargins left="0.699305555555556" right="0.699305555555556" top="0.75" bottom="0.75" header="0.3" footer="0.3"/>
  <pageSetup paperSize="1" orientation="portrait"/>
  <headerFooter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7"/>
  <dimension ref="A1:R2"/>
  <sheetViews>
    <sheetView workbookViewId="0">
      <selection activeCell="A1" sqref="A1:R2"/>
    </sheetView>
  </sheetViews>
  <sheetFormatPr defaultColWidth="9" defaultRowHeight="13.5" outlineLevelRow="1"/>
  <cols>
    <col min="1" max="2" width="20.7142857142857" customWidth="1"/>
    <col min="3" max="3" width="10.5714285714286" customWidth="1"/>
    <col min="4" max="4" width="14.7142857142857" customWidth="1"/>
    <col min="5" max="5" width="19" customWidth="1"/>
    <col min="6" max="6" width="31.4285714285714" customWidth="1"/>
    <col min="7" max="7" width="13.7142857142857" customWidth="1"/>
    <col min="9" max="9" width="12.8571428571429" customWidth="1"/>
    <col min="10" max="10" width="9.28571428571429" customWidth="1"/>
    <col min="11" max="11" width="18" customWidth="1"/>
    <col min="12" max="12" width="12.4285714285714" customWidth="1"/>
    <col min="13" max="13" width="23.2857142857143" customWidth="1"/>
    <col min="14" max="14" width="23.1428571428571" customWidth="1"/>
    <col min="15" max="15" width="11.7142857142857" customWidth="1"/>
    <col min="16" max="16" width="16.8571428571429" customWidth="1"/>
    <col min="17" max="17" width="16.5714285714286" customWidth="1"/>
  </cols>
  <sheetData>
    <row r="1" spans="1:18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24</v>
      </c>
      <c r="K1" t="s">
        <v>51</v>
      </c>
      <c r="L1" t="s">
        <v>52</v>
      </c>
      <c r="M1" t="s">
        <v>53</v>
      </c>
      <c r="N1" t="s">
        <v>54</v>
      </c>
      <c r="O1" t="s">
        <v>21</v>
      </c>
      <c r="P1" t="s">
        <v>23</v>
      </c>
      <c r="Q1" t="s">
        <v>55</v>
      </c>
      <c r="R1" t="s">
        <v>28</v>
      </c>
    </row>
    <row r="2" spans="1:18">
      <c r="A2" t="s">
        <v>262</v>
      </c>
      <c r="B2" t="s">
        <v>32</v>
      </c>
      <c r="C2" t="s">
        <v>263</v>
      </c>
      <c r="D2" t="s">
        <v>264</v>
      </c>
      <c r="E2" t="s">
        <v>6</v>
      </c>
      <c r="F2" t="s">
        <v>265</v>
      </c>
      <c r="G2" t="s">
        <v>78</v>
      </c>
      <c r="H2" t="s">
        <v>266</v>
      </c>
      <c r="I2" t="s">
        <v>267</v>
      </c>
      <c r="J2" t="s">
        <v>58</v>
      </c>
      <c r="K2">
        <v>3</v>
      </c>
      <c r="M2">
        <v>0</v>
      </c>
      <c r="N2">
        <v>0</v>
      </c>
      <c r="O2" t="s">
        <v>268</v>
      </c>
      <c r="P2" s="12">
        <v>42950.6120949074</v>
      </c>
      <c r="Q2" s="12">
        <v>42951.4553356481</v>
      </c>
      <c r="R2">
        <v>20.916666666666</v>
      </c>
    </row>
  </sheetData>
  <pageMargins left="0.699305555555556" right="0.699305555555556" top="0.75" bottom="0.75" header="0.3" footer="0.3"/>
  <headerFooter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8"/>
  <dimension ref="A1:R67"/>
  <sheetViews>
    <sheetView workbookViewId="0">
      <selection activeCell="C9" sqref="C9"/>
    </sheetView>
  </sheetViews>
  <sheetFormatPr defaultColWidth="9" defaultRowHeight="13.5"/>
  <cols>
    <col min="1" max="2" width="20.7142857142857" customWidth="1"/>
    <col min="3" max="3" width="10.5714285714286" customWidth="1"/>
    <col min="4" max="4" width="14.7142857142857" customWidth="1"/>
    <col min="5" max="5" width="19" customWidth="1"/>
    <col min="6" max="6" width="31.4285714285714" customWidth="1"/>
    <col min="7" max="7" width="13.7142857142857" customWidth="1"/>
    <col min="9" max="9" width="12.8571428571429" customWidth="1"/>
    <col min="10" max="10" width="9.28571428571429" customWidth="1"/>
    <col min="11" max="11" width="18" customWidth="1"/>
    <col min="12" max="12" width="12.4285714285714" customWidth="1"/>
    <col min="13" max="13" width="23.2857142857143" customWidth="1"/>
    <col min="14" max="14" width="23.1428571428571" customWidth="1"/>
    <col min="15" max="15" width="11.7142857142857" customWidth="1"/>
    <col min="16" max="16" width="16.8571428571429" customWidth="1"/>
    <col min="17" max="17" width="16.5714285714286" customWidth="1"/>
  </cols>
  <sheetData>
    <row r="1" spans="1:18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24</v>
      </c>
      <c r="K1" t="s">
        <v>51</v>
      </c>
      <c r="L1" t="s">
        <v>52</v>
      </c>
      <c r="M1" t="s">
        <v>53</v>
      </c>
      <c r="N1" t="s">
        <v>54</v>
      </c>
      <c r="O1" t="s">
        <v>21</v>
      </c>
      <c r="P1" t="s">
        <v>23</v>
      </c>
      <c r="Q1" t="s">
        <v>55</v>
      </c>
      <c r="R1" t="s">
        <v>28</v>
      </c>
    </row>
    <row r="2" spans="1:18">
      <c r="A2" t="s">
        <v>269</v>
      </c>
      <c r="B2" t="s">
        <v>29</v>
      </c>
      <c r="C2" t="s">
        <v>270</v>
      </c>
      <c r="D2" t="s">
        <v>271</v>
      </c>
      <c r="E2" t="s">
        <v>5</v>
      </c>
      <c r="F2" t="s">
        <v>272</v>
      </c>
      <c r="G2" t="s">
        <v>73</v>
      </c>
      <c r="H2" t="s">
        <v>273</v>
      </c>
      <c r="I2" t="s">
        <v>273</v>
      </c>
      <c r="J2" t="s">
        <v>56</v>
      </c>
      <c r="K2">
        <v>3</v>
      </c>
      <c r="M2">
        <v>0</v>
      </c>
      <c r="N2">
        <v>0</v>
      </c>
      <c r="O2" t="s">
        <v>274</v>
      </c>
      <c r="P2" s="12">
        <v>43008.8071875</v>
      </c>
      <c r="Q2" s="12">
        <v>43008.8961458333</v>
      </c>
      <c r="R2">
        <v>2.133333333333</v>
      </c>
    </row>
    <row r="3" spans="1:18">
      <c r="A3" t="s">
        <v>262</v>
      </c>
      <c r="B3" t="s">
        <v>32</v>
      </c>
      <c r="C3" t="s">
        <v>275</v>
      </c>
      <c r="D3" t="s">
        <v>276</v>
      </c>
      <c r="E3" t="s">
        <v>7</v>
      </c>
      <c r="F3" t="s">
        <v>277</v>
      </c>
      <c r="G3" t="s">
        <v>73</v>
      </c>
      <c r="H3" t="s">
        <v>278</v>
      </c>
      <c r="I3" t="s">
        <v>279</v>
      </c>
      <c r="J3" t="s">
        <v>56</v>
      </c>
      <c r="K3">
        <v>3</v>
      </c>
      <c r="M3">
        <v>0</v>
      </c>
      <c r="N3">
        <v>0</v>
      </c>
      <c r="O3" t="s">
        <v>280</v>
      </c>
      <c r="P3" s="12">
        <v>43008.1880787037</v>
      </c>
      <c r="Q3" s="12">
        <v>43008.5362962963</v>
      </c>
      <c r="R3">
        <v>8.35</v>
      </c>
    </row>
    <row r="4" spans="1:18">
      <c r="A4" t="s">
        <v>269</v>
      </c>
      <c r="B4" t="s">
        <v>29</v>
      </c>
      <c r="C4" t="s">
        <v>281</v>
      </c>
      <c r="D4" t="s">
        <v>271</v>
      </c>
      <c r="E4" t="s">
        <v>5</v>
      </c>
      <c r="F4" t="s">
        <v>272</v>
      </c>
      <c r="G4" t="s">
        <v>73</v>
      </c>
      <c r="H4" t="s">
        <v>282</v>
      </c>
      <c r="I4" t="s">
        <v>282</v>
      </c>
      <c r="J4" t="s">
        <v>56</v>
      </c>
      <c r="K4">
        <v>3</v>
      </c>
      <c r="M4">
        <v>0</v>
      </c>
      <c r="N4">
        <v>0</v>
      </c>
      <c r="O4" t="s">
        <v>274</v>
      </c>
      <c r="P4" s="12">
        <v>43008.1821759259</v>
      </c>
      <c r="Q4" s="12">
        <v>43008.5338310185</v>
      </c>
      <c r="R4">
        <v>8.433333333333</v>
      </c>
    </row>
    <row r="5" spans="1:18">
      <c r="A5" t="s">
        <v>269</v>
      </c>
      <c r="B5" t="s">
        <v>29</v>
      </c>
      <c r="C5" t="s">
        <v>283</v>
      </c>
      <c r="D5" t="s">
        <v>271</v>
      </c>
      <c r="E5" t="s">
        <v>5</v>
      </c>
      <c r="F5" t="s">
        <v>272</v>
      </c>
      <c r="G5" t="s">
        <v>73</v>
      </c>
      <c r="H5" t="s">
        <v>282</v>
      </c>
      <c r="I5" t="s">
        <v>282</v>
      </c>
      <c r="J5" t="s">
        <v>56</v>
      </c>
      <c r="K5">
        <v>3</v>
      </c>
      <c r="M5">
        <v>0</v>
      </c>
      <c r="N5">
        <v>0</v>
      </c>
      <c r="O5" t="s">
        <v>274</v>
      </c>
      <c r="P5" s="12">
        <v>43007.8037037037</v>
      </c>
      <c r="Q5" s="12">
        <v>43008.5321412037</v>
      </c>
      <c r="R5">
        <v>17.483333333333</v>
      </c>
    </row>
    <row r="6" spans="1:18">
      <c r="A6" t="s">
        <v>269</v>
      </c>
      <c r="B6" t="s">
        <v>29</v>
      </c>
      <c r="C6" t="s">
        <v>284</v>
      </c>
      <c r="D6" t="s">
        <v>285</v>
      </c>
      <c r="E6" t="s">
        <v>5</v>
      </c>
      <c r="F6" t="s">
        <v>286</v>
      </c>
      <c r="G6" t="s">
        <v>73</v>
      </c>
      <c r="H6" t="s">
        <v>72</v>
      </c>
      <c r="I6" t="s">
        <v>72</v>
      </c>
      <c r="J6" t="s">
        <v>58</v>
      </c>
      <c r="K6">
        <v>3</v>
      </c>
      <c r="M6">
        <v>0</v>
      </c>
      <c r="N6">
        <v>0</v>
      </c>
      <c r="O6" t="s">
        <v>287</v>
      </c>
      <c r="P6" s="12">
        <v>43007.5894675926</v>
      </c>
      <c r="Q6" s="12">
        <v>43007.6381134259</v>
      </c>
      <c r="R6">
        <v>1.166666666666</v>
      </c>
    </row>
    <row r="7" spans="1:18">
      <c r="A7" t="s">
        <v>269</v>
      </c>
      <c r="B7" t="s">
        <v>29</v>
      </c>
      <c r="C7" t="s">
        <v>288</v>
      </c>
      <c r="D7" t="s">
        <v>264</v>
      </c>
      <c r="E7" t="s">
        <v>5</v>
      </c>
      <c r="F7" t="s">
        <v>289</v>
      </c>
      <c r="G7" t="s">
        <v>73</v>
      </c>
      <c r="H7" t="s">
        <v>73</v>
      </c>
      <c r="I7" t="s">
        <v>290</v>
      </c>
      <c r="J7" t="s">
        <v>58</v>
      </c>
      <c r="K7">
        <v>3</v>
      </c>
      <c r="M7">
        <v>0</v>
      </c>
      <c r="N7">
        <v>0</v>
      </c>
      <c r="O7" t="s">
        <v>291</v>
      </c>
      <c r="P7" s="12">
        <v>43007.1950462963</v>
      </c>
      <c r="Q7" s="12">
        <v>43007.2434722222</v>
      </c>
      <c r="R7">
        <v>1.166666666666</v>
      </c>
    </row>
    <row r="8" spans="1:18">
      <c r="A8" t="s">
        <v>269</v>
      </c>
      <c r="B8" t="s">
        <v>29</v>
      </c>
      <c r="C8" t="s">
        <v>292</v>
      </c>
      <c r="D8" t="s">
        <v>293</v>
      </c>
      <c r="E8" t="s">
        <v>5</v>
      </c>
      <c r="F8" t="s">
        <v>294</v>
      </c>
      <c r="G8" t="s">
        <v>73</v>
      </c>
      <c r="H8" t="s">
        <v>295</v>
      </c>
      <c r="I8" t="s">
        <v>296</v>
      </c>
      <c r="J8" t="s">
        <v>58</v>
      </c>
      <c r="K8">
        <v>3</v>
      </c>
      <c r="M8">
        <v>0</v>
      </c>
      <c r="N8">
        <v>0</v>
      </c>
      <c r="O8" t="s">
        <v>274</v>
      </c>
      <c r="P8" s="12">
        <v>43007.1821990741</v>
      </c>
      <c r="Q8" s="12">
        <v>43007.1912268518</v>
      </c>
      <c r="R8">
        <v>0.216666666666</v>
      </c>
    </row>
    <row r="9" spans="1:18">
      <c r="A9" t="s">
        <v>269</v>
      </c>
      <c r="B9" t="s">
        <v>29</v>
      </c>
      <c r="C9" t="s">
        <v>297</v>
      </c>
      <c r="D9" t="s">
        <v>298</v>
      </c>
      <c r="E9" t="s">
        <v>5</v>
      </c>
      <c r="F9" t="s">
        <v>272</v>
      </c>
      <c r="G9" t="s">
        <v>73</v>
      </c>
      <c r="H9" t="s">
        <v>73</v>
      </c>
      <c r="I9" t="s">
        <v>299</v>
      </c>
      <c r="J9" t="s">
        <v>58</v>
      </c>
      <c r="K9">
        <v>3</v>
      </c>
      <c r="M9">
        <v>0</v>
      </c>
      <c r="N9">
        <v>0</v>
      </c>
      <c r="O9" t="s">
        <v>300</v>
      </c>
      <c r="P9" s="12">
        <v>43006.8419097222</v>
      </c>
      <c r="Q9" s="12">
        <v>43007.0603125</v>
      </c>
      <c r="R9">
        <v>5.25</v>
      </c>
    </row>
    <row r="10" spans="1:18">
      <c r="A10" t="s">
        <v>269</v>
      </c>
      <c r="B10" t="s">
        <v>29</v>
      </c>
      <c r="C10" t="s">
        <v>301</v>
      </c>
      <c r="D10" t="s">
        <v>298</v>
      </c>
      <c r="E10" t="s">
        <v>5</v>
      </c>
      <c r="F10" t="s">
        <v>302</v>
      </c>
      <c r="G10" t="s">
        <v>73</v>
      </c>
      <c r="H10" t="s">
        <v>73</v>
      </c>
      <c r="I10" t="s">
        <v>299</v>
      </c>
      <c r="J10" t="s">
        <v>58</v>
      </c>
      <c r="K10">
        <v>3</v>
      </c>
      <c r="M10">
        <v>0</v>
      </c>
      <c r="N10">
        <v>0</v>
      </c>
      <c r="O10" t="s">
        <v>303</v>
      </c>
      <c r="P10" s="12">
        <v>43006.8367013889</v>
      </c>
      <c r="Q10" s="12">
        <v>43007.0593981482</v>
      </c>
      <c r="R10">
        <v>5.35</v>
      </c>
    </row>
    <row r="11" spans="1:18">
      <c r="A11" t="s">
        <v>269</v>
      </c>
      <c r="B11" t="s">
        <v>29</v>
      </c>
      <c r="C11" t="s">
        <v>304</v>
      </c>
      <c r="D11" t="s">
        <v>271</v>
      </c>
      <c r="E11" t="s">
        <v>5</v>
      </c>
      <c r="F11" t="s">
        <v>272</v>
      </c>
      <c r="G11" t="s">
        <v>73</v>
      </c>
      <c r="H11" t="s">
        <v>305</v>
      </c>
      <c r="I11" t="s">
        <v>306</v>
      </c>
      <c r="J11" t="s">
        <v>58</v>
      </c>
      <c r="K11">
        <v>3</v>
      </c>
      <c r="M11">
        <v>0</v>
      </c>
      <c r="N11">
        <v>0</v>
      </c>
      <c r="O11" t="s">
        <v>300</v>
      </c>
      <c r="P11" s="12">
        <v>43006.8071875</v>
      </c>
      <c r="Q11" s="12">
        <v>43006.878125</v>
      </c>
      <c r="R11">
        <v>1.7</v>
      </c>
    </row>
    <row r="12" spans="1:18">
      <c r="A12" t="s">
        <v>269</v>
      </c>
      <c r="B12" t="s">
        <v>29</v>
      </c>
      <c r="C12" t="s">
        <v>307</v>
      </c>
      <c r="D12" t="s">
        <v>298</v>
      </c>
      <c r="E12" t="s">
        <v>5</v>
      </c>
      <c r="F12" t="s">
        <v>272</v>
      </c>
      <c r="G12" t="s">
        <v>73</v>
      </c>
      <c r="H12" t="s">
        <v>73</v>
      </c>
      <c r="I12" t="s">
        <v>299</v>
      </c>
      <c r="J12" t="s">
        <v>58</v>
      </c>
      <c r="K12">
        <v>3</v>
      </c>
      <c r="M12">
        <v>0</v>
      </c>
      <c r="N12">
        <v>0</v>
      </c>
      <c r="O12" t="s">
        <v>274</v>
      </c>
      <c r="P12" s="12">
        <v>43006.8037152778</v>
      </c>
      <c r="Q12" s="12">
        <v>43007.0583449074</v>
      </c>
      <c r="R12">
        <v>6.116666666666</v>
      </c>
    </row>
    <row r="13" spans="1:18">
      <c r="A13" t="s">
        <v>262</v>
      </c>
      <c r="B13" t="s">
        <v>32</v>
      </c>
      <c r="C13" t="s">
        <v>308</v>
      </c>
      <c r="D13" t="s">
        <v>271</v>
      </c>
      <c r="E13" t="s">
        <v>7</v>
      </c>
      <c r="F13" t="s">
        <v>277</v>
      </c>
      <c r="G13" t="s">
        <v>73</v>
      </c>
      <c r="H13" t="s">
        <v>309</v>
      </c>
      <c r="I13" t="s">
        <v>310</v>
      </c>
      <c r="J13" t="s">
        <v>58</v>
      </c>
      <c r="K13">
        <v>3</v>
      </c>
      <c r="M13">
        <v>0</v>
      </c>
      <c r="N13">
        <v>0</v>
      </c>
      <c r="O13" t="s">
        <v>311</v>
      </c>
      <c r="P13" s="12">
        <v>43006.6780208333</v>
      </c>
      <c r="Q13" s="12">
        <v>43006.7548726852</v>
      </c>
      <c r="R13">
        <v>1.85</v>
      </c>
    </row>
    <row r="14" spans="1:18">
      <c r="A14" t="s">
        <v>262</v>
      </c>
      <c r="B14" t="s">
        <v>32</v>
      </c>
      <c r="C14" t="s">
        <v>312</v>
      </c>
      <c r="D14" t="s">
        <v>285</v>
      </c>
      <c r="E14" t="s">
        <v>7</v>
      </c>
      <c r="F14" t="s">
        <v>277</v>
      </c>
      <c r="G14" t="s">
        <v>73</v>
      </c>
      <c r="H14" t="s">
        <v>72</v>
      </c>
      <c r="I14" t="s">
        <v>313</v>
      </c>
      <c r="J14" t="s">
        <v>58</v>
      </c>
      <c r="K14">
        <v>3</v>
      </c>
      <c r="M14">
        <v>0</v>
      </c>
      <c r="N14">
        <v>0</v>
      </c>
      <c r="O14" t="s">
        <v>314</v>
      </c>
      <c r="P14" s="12">
        <v>43006.3134375</v>
      </c>
      <c r="Q14" s="12">
        <v>43006.4202893519</v>
      </c>
      <c r="R14">
        <v>2.566666666666</v>
      </c>
    </row>
    <row r="15" ht="102" customHeight="1" spans="1:18">
      <c r="A15" t="s">
        <v>262</v>
      </c>
      <c r="B15" t="s">
        <v>32</v>
      </c>
      <c r="C15" t="s">
        <v>315</v>
      </c>
      <c r="D15" t="s">
        <v>316</v>
      </c>
      <c r="E15" t="s">
        <v>7</v>
      </c>
      <c r="F15" t="s">
        <v>277</v>
      </c>
      <c r="G15" t="s">
        <v>73</v>
      </c>
      <c r="H15" t="s">
        <v>317</v>
      </c>
      <c r="I15" s="11" t="s">
        <v>318</v>
      </c>
      <c r="J15" t="s">
        <v>58</v>
      </c>
      <c r="K15">
        <v>3</v>
      </c>
      <c r="M15">
        <v>0</v>
      </c>
      <c r="N15">
        <v>0</v>
      </c>
      <c r="O15" t="s">
        <v>314</v>
      </c>
      <c r="P15" s="12">
        <v>43006.2926041667</v>
      </c>
      <c r="Q15" s="12">
        <v>43006.3101273148</v>
      </c>
      <c r="R15">
        <v>0.416666666666</v>
      </c>
    </row>
    <row r="16" spans="1:18">
      <c r="A16" t="s">
        <v>262</v>
      </c>
      <c r="B16" t="s">
        <v>32</v>
      </c>
      <c r="C16" t="s">
        <v>319</v>
      </c>
      <c r="D16" t="s">
        <v>320</v>
      </c>
      <c r="E16" t="s">
        <v>7</v>
      </c>
      <c r="F16" t="s">
        <v>277</v>
      </c>
      <c r="G16" t="s">
        <v>73</v>
      </c>
      <c r="H16" t="s">
        <v>73</v>
      </c>
      <c r="I16" t="s">
        <v>321</v>
      </c>
      <c r="J16" t="s">
        <v>58</v>
      </c>
      <c r="K16">
        <v>3</v>
      </c>
      <c r="M16">
        <v>0</v>
      </c>
      <c r="N16">
        <v>0</v>
      </c>
      <c r="O16" t="s">
        <v>314</v>
      </c>
      <c r="P16" s="12">
        <v>43006.2328819444</v>
      </c>
      <c r="Q16" s="12">
        <v>43006.2461689815</v>
      </c>
      <c r="R16">
        <v>0.316666666666</v>
      </c>
    </row>
    <row r="17" spans="1:18">
      <c r="A17" t="s">
        <v>269</v>
      </c>
      <c r="B17" t="s">
        <v>29</v>
      </c>
      <c r="C17" t="s">
        <v>322</v>
      </c>
      <c r="D17" t="s">
        <v>323</v>
      </c>
      <c r="E17" t="s">
        <v>5</v>
      </c>
      <c r="F17" t="s">
        <v>272</v>
      </c>
      <c r="G17" t="s">
        <v>73</v>
      </c>
      <c r="H17" t="s">
        <v>324</v>
      </c>
      <c r="I17" t="s">
        <v>324</v>
      </c>
      <c r="J17" t="s">
        <v>58</v>
      </c>
      <c r="K17">
        <v>3</v>
      </c>
      <c r="M17">
        <v>0</v>
      </c>
      <c r="N17">
        <v>0</v>
      </c>
      <c r="O17" t="s">
        <v>274</v>
      </c>
      <c r="P17" s="12">
        <v>43006.1821875</v>
      </c>
      <c r="Q17" s="12">
        <v>43006.2147916667</v>
      </c>
      <c r="R17">
        <v>0.783333333333</v>
      </c>
    </row>
    <row r="18" spans="1:18">
      <c r="A18" t="s">
        <v>262</v>
      </c>
      <c r="B18" t="s">
        <v>32</v>
      </c>
      <c r="C18" t="s">
        <v>325</v>
      </c>
      <c r="D18" t="s">
        <v>320</v>
      </c>
      <c r="E18" t="s">
        <v>7</v>
      </c>
      <c r="F18" t="s">
        <v>277</v>
      </c>
      <c r="G18" t="s">
        <v>73</v>
      </c>
      <c r="H18" t="s">
        <v>73</v>
      </c>
      <c r="I18" t="s">
        <v>326</v>
      </c>
      <c r="J18" t="s">
        <v>58</v>
      </c>
      <c r="K18">
        <v>3</v>
      </c>
      <c r="M18">
        <v>0</v>
      </c>
      <c r="N18">
        <v>0</v>
      </c>
      <c r="O18" t="s">
        <v>314</v>
      </c>
      <c r="P18" s="12">
        <v>43005.8349652778</v>
      </c>
      <c r="Q18" s="12">
        <v>43006.1413888889</v>
      </c>
      <c r="R18">
        <v>7.35</v>
      </c>
    </row>
    <row r="19" spans="1:18">
      <c r="A19" t="s">
        <v>269</v>
      </c>
      <c r="B19" t="s">
        <v>29</v>
      </c>
      <c r="C19" t="s">
        <v>327</v>
      </c>
      <c r="D19" t="s">
        <v>293</v>
      </c>
      <c r="E19" t="s">
        <v>5</v>
      </c>
      <c r="F19" t="s">
        <v>272</v>
      </c>
      <c r="G19" t="s">
        <v>73</v>
      </c>
      <c r="H19" t="s">
        <v>73</v>
      </c>
      <c r="I19" t="s">
        <v>299</v>
      </c>
      <c r="J19" t="s">
        <v>58</v>
      </c>
      <c r="K19">
        <v>3</v>
      </c>
      <c r="M19">
        <v>0</v>
      </c>
      <c r="N19">
        <v>0</v>
      </c>
      <c r="O19" t="s">
        <v>274</v>
      </c>
      <c r="P19" s="12">
        <v>43005.8071875</v>
      </c>
      <c r="Q19" s="12">
        <v>43006.0052430556</v>
      </c>
      <c r="R19">
        <v>4.75</v>
      </c>
    </row>
    <row r="20" spans="1:18">
      <c r="A20" t="s">
        <v>269</v>
      </c>
      <c r="B20" t="s">
        <v>29</v>
      </c>
      <c r="C20" t="s">
        <v>328</v>
      </c>
      <c r="D20" t="s">
        <v>271</v>
      </c>
      <c r="E20" t="s">
        <v>5</v>
      </c>
      <c r="F20" t="s">
        <v>302</v>
      </c>
      <c r="G20" t="s">
        <v>73</v>
      </c>
      <c r="H20" t="s">
        <v>329</v>
      </c>
      <c r="I20" t="s">
        <v>330</v>
      </c>
      <c r="J20" t="s">
        <v>58</v>
      </c>
      <c r="K20">
        <v>3</v>
      </c>
      <c r="M20">
        <v>0</v>
      </c>
      <c r="N20">
        <v>0</v>
      </c>
      <c r="O20" t="s">
        <v>303</v>
      </c>
      <c r="P20" s="12">
        <v>43005.8061458333</v>
      </c>
      <c r="Q20" s="12">
        <v>43005.8575347222</v>
      </c>
      <c r="R20">
        <v>1.233333333333</v>
      </c>
    </row>
    <row r="21" spans="1:18">
      <c r="A21" t="s">
        <v>269</v>
      </c>
      <c r="B21" t="s">
        <v>29</v>
      </c>
      <c r="C21" t="s">
        <v>331</v>
      </c>
      <c r="D21" t="s">
        <v>271</v>
      </c>
      <c r="E21" t="s">
        <v>5</v>
      </c>
      <c r="F21" t="s">
        <v>272</v>
      </c>
      <c r="G21" t="s">
        <v>73</v>
      </c>
      <c r="H21" t="s">
        <v>332</v>
      </c>
      <c r="I21" t="s">
        <v>333</v>
      </c>
      <c r="J21" t="s">
        <v>58</v>
      </c>
      <c r="K21">
        <v>3</v>
      </c>
      <c r="M21">
        <v>0</v>
      </c>
      <c r="N21">
        <v>0</v>
      </c>
      <c r="O21" t="s">
        <v>300</v>
      </c>
      <c r="P21" s="12">
        <v>43005.8002430556</v>
      </c>
      <c r="Q21" s="12">
        <v>43005.8464467593</v>
      </c>
      <c r="R21">
        <v>1.116666666666</v>
      </c>
    </row>
    <row r="22" spans="1:18">
      <c r="A22" t="s">
        <v>269</v>
      </c>
      <c r="B22" t="s">
        <v>29</v>
      </c>
      <c r="C22" t="s">
        <v>334</v>
      </c>
      <c r="D22" t="s">
        <v>285</v>
      </c>
      <c r="E22" t="s">
        <v>9</v>
      </c>
      <c r="F22" t="s">
        <v>272</v>
      </c>
      <c r="G22" t="s">
        <v>73</v>
      </c>
      <c r="H22" t="s">
        <v>72</v>
      </c>
      <c r="I22" t="s">
        <v>72</v>
      </c>
      <c r="J22" t="s">
        <v>58</v>
      </c>
      <c r="K22">
        <v>3</v>
      </c>
      <c r="M22">
        <v>0</v>
      </c>
      <c r="N22">
        <v>0</v>
      </c>
      <c r="O22" t="s">
        <v>300</v>
      </c>
      <c r="P22" s="12">
        <v>43005.5502430556</v>
      </c>
      <c r="Q22" s="12">
        <v>43005.6619097222</v>
      </c>
      <c r="R22">
        <v>2.683333333333</v>
      </c>
    </row>
    <row r="23" spans="1:18">
      <c r="A23" t="s">
        <v>269</v>
      </c>
      <c r="B23" t="s">
        <v>29</v>
      </c>
      <c r="C23" t="s">
        <v>335</v>
      </c>
      <c r="D23" t="s">
        <v>285</v>
      </c>
      <c r="E23" t="s">
        <v>5</v>
      </c>
      <c r="F23" t="s">
        <v>272</v>
      </c>
      <c r="G23" t="s">
        <v>73</v>
      </c>
      <c r="H23" t="s">
        <v>72</v>
      </c>
      <c r="I23" t="s">
        <v>72</v>
      </c>
      <c r="J23" t="s">
        <v>58</v>
      </c>
      <c r="K23">
        <v>3</v>
      </c>
      <c r="M23">
        <v>0</v>
      </c>
      <c r="N23">
        <v>0</v>
      </c>
      <c r="O23" t="s">
        <v>300</v>
      </c>
      <c r="P23" s="12">
        <v>43005.4946759259</v>
      </c>
      <c r="Q23" s="12">
        <v>43005.6212731482</v>
      </c>
      <c r="R23">
        <v>3.033333333333</v>
      </c>
    </row>
    <row r="24" spans="1:18">
      <c r="A24" t="s">
        <v>269</v>
      </c>
      <c r="B24" t="s">
        <v>29</v>
      </c>
      <c r="C24" t="s">
        <v>336</v>
      </c>
      <c r="D24" t="s">
        <v>320</v>
      </c>
      <c r="E24" t="s">
        <v>5</v>
      </c>
      <c r="F24" t="s">
        <v>272</v>
      </c>
      <c r="G24" t="s">
        <v>73</v>
      </c>
      <c r="H24" t="s">
        <v>337</v>
      </c>
      <c r="I24" t="s">
        <v>338</v>
      </c>
      <c r="J24" t="s">
        <v>58</v>
      </c>
      <c r="K24">
        <v>3</v>
      </c>
      <c r="M24">
        <v>0</v>
      </c>
      <c r="N24">
        <v>0</v>
      </c>
      <c r="O24" t="s">
        <v>274</v>
      </c>
      <c r="P24" s="12">
        <v>43005.1821759259</v>
      </c>
      <c r="Q24" s="12">
        <v>43005.2094212963</v>
      </c>
      <c r="R24">
        <v>0.65</v>
      </c>
    </row>
    <row r="25" spans="1:18">
      <c r="A25" t="s">
        <v>269</v>
      </c>
      <c r="B25" t="s">
        <v>29</v>
      </c>
      <c r="C25" t="s">
        <v>339</v>
      </c>
      <c r="D25" t="s">
        <v>293</v>
      </c>
      <c r="E25" t="s">
        <v>5</v>
      </c>
      <c r="F25" t="s">
        <v>302</v>
      </c>
      <c r="G25" t="s">
        <v>73</v>
      </c>
      <c r="H25" t="s">
        <v>73</v>
      </c>
      <c r="I25" t="s">
        <v>299</v>
      </c>
      <c r="J25" t="s">
        <v>58</v>
      </c>
      <c r="K25">
        <v>3</v>
      </c>
      <c r="M25">
        <v>0</v>
      </c>
      <c r="N25">
        <v>0</v>
      </c>
      <c r="O25" t="s">
        <v>303</v>
      </c>
      <c r="P25" s="12">
        <v>43004.8505787037</v>
      </c>
      <c r="Q25" s="12">
        <v>43004.992337963</v>
      </c>
      <c r="R25">
        <v>3.4</v>
      </c>
    </row>
    <row r="26" spans="1:18">
      <c r="A26" t="s">
        <v>269</v>
      </c>
      <c r="B26" t="s">
        <v>29</v>
      </c>
      <c r="C26" t="s">
        <v>340</v>
      </c>
      <c r="D26" t="s">
        <v>293</v>
      </c>
      <c r="E26" t="s">
        <v>5</v>
      </c>
      <c r="F26" t="s">
        <v>272</v>
      </c>
      <c r="G26" t="s">
        <v>73</v>
      </c>
      <c r="H26" t="s">
        <v>73</v>
      </c>
      <c r="I26" t="s">
        <v>299</v>
      </c>
      <c r="J26" t="s">
        <v>58</v>
      </c>
      <c r="K26">
        <v>3</v>
      </c>
      <c r="M26">
        <v>0</v>
      </c>
      <c r="N26">
        <v>0</v>
      </c>
      <c r="O26" t="s">
        <v>300</v>
      </c>
      <c r="P26" s="12">
        <v>43004.8418981481</v>
      </c>
      <c r="Q26" s="12">
        <v>43004.9947569444</v>
      </c>
      <c r="R26">
        <v>3.666666666666</v>
      </c>
    </row>
    <row r="27" spans="1:18">
      <c r="A27" t="s">
        <v>269</v>
      </c>
      <c r="B27" t="s">
        <v>29</v>
      </c>
      <c r="C27" t="s">
        <v>341</v>
      </c>
      <c r="D27" t="s">
        <v>320</v>
      </c>
      <c r="E27" t="s">
        <v>5</v>
      </c>
      <c r="F27" t="s">
        <v>272</v>
      </c>
      <c r="G27" t="s">
        <v>73</v>
      </c>
      <c r="H27" t="s">
        <v>73</v>
      </c>
      <c r="I27" t="s">
        <v>342</v>
      </c>
      <c r="J27" t="s">
        <v>58</v>
      </c>
      <c r="K27">
        <v>3</v>
      </c>
      <c r="M27">
        <v>0</v>
      </c>
      <c r="N27">
        <v>0</v>
      </c>
      <c r="O27" t="s">
        <v>274</v>
      </c>
      <c r="P27" s="12">
        <v>43004.8071759259</v>
      </c>
      <c r="Q27" s="12">
        <v>43005.2110648148</v>
      </c>
      <c r="R27">
        <v>9.7</v>
      </c>
    </row>
    <row r="28" spans="1:18">
      <c r="A28" t="s">
        <v>269</v>
      </c>
      <c r="B28" t="s">
        <v>29</v>
      </c>
      <c r="C28" t="s">
        <v>343</v>
      </c>
      <c r="D28" t="s">
        <v>293</v>
      </c>
      <c r="E28" t="s">
        <v>5</v>
      </c>
      <c r="F28" t="s">
        <v>272</v>
      </c>
      <c r="G28" t="s">
        <v>73</v>
      </c>
      <c r="H28" t="s">
        <v>73</v>
      </c>
      <c r="I28" t="s">
        <v>344</v>
      </c>
      <c r="J28" t="s">
        <v>58</v>
      </c>
      <c r="K28">
        <v>3</v>
      </c>
      <c r="M28">
        <v>0</v>
      </c>
      <c r="N28">
        <v>0</v>
      </c>
      <c r="O28" t="s">
        <v>300</v>
      </c>
      <c r="P28" s="12">
        <v>43004.793287037</v>
      </c>
      <c r="Q28" s="12">
        <v>43004.9975231482</v>
      </c>
      <c r="R28">
        <v>4.9</v>
      </c>
    </row>
    <row r="29" spans="1:18">
      <c r="A29" t="s">
        <v>269</v>
      </c>
      <c r="B29" t="s">
        <v>29</v>
      </c>
      <c r="C29" t="s">
        <v>345</v>
      </c>
      <c r="D29" t="s">
        <v>320</v>
      </c>
      <c r="E29" t="s">
        <v>5</v>
      </c>
      <c r="F29" t="s">
        <v>289</v>
      </c>
      <c r="G29" t="s">
        <v>73</v>
      </c>
      <c r="H29" t="s">
        <v>346</v>
      </c>
      <c r="I29" t="s">
        <v>347</v>
      </c>
      <c r="J29" t="s">
        <v>58</v>
      </c>
      <c r="K29">
        <v>3</v>
      </c>
      <c r="M29">
        <v>0</v>
      </c>
      <c r="N29">
        <v>0</v>
      </c>
      <c r="O29" t="s">
        <v>291</v>
      </c>
      <c r="P29" s="12">
        <v>43004.2158564815</v>
      </c>
      <c r="Q29" s="12">
        <v>43004.3316550926</v>
      </c>
      <c r="R29">
        <v>2.783333333333</v>
      </c>
    </row>
    <row r="30" spans="1:18">
      <c r="A30" t="s">
        <v>269</v>
      </c>
      <c r="B30" t="s">
        <v>29</v>
      </c>
      <c r="C30" t="s">
        <v>348</v>
      </c>
      <c r="D30" t="s">
        <v>349</v>
      </c>
      <c r="E30" t="s">
        <v>5</v>
      </c>
      <c r="F30" t="s">
        <v>272</v>
      </c>
      <c r="G30" t="s">
        <v>73</v>
      </c>
      <c r="H30" t="s">
        <v>350</v>
      </c>
      <c r="I30" t="s">
        <v>350</v>
      </c>
      <c r="J30" t="s">
        <v>58</v>
      </c>
      <c r="K30">
        <v>3</v>
      </c>
      <c r="M30">
        <v>0</v>
      </c>
      <c r="N30">
        <v>0</v>
      </c>
      <c r="O30" t="s">
        <v>274</v>
      </c>
      <c r="P30" s="12">
        <v>43004.1821759259</v>
      </c>
      <c r="Q30" s="12">
        <v>43004.2068287037</v>
      </c>
      <c r="R30">
        <v>0.6</v>
      </c>
    </row>
    <row r="31" spans="1:18">
      <c r="A31" t="s">
        <v>269</v>
      </c>
      <c r="B31" t="s">
        <v>29</v>
      </c>
      <c r="C31" t="s">
        <v>351</v>
      </c>
      <c r="D31" t="s">
        <v>323</v>
      </c>
      <c r="E31" t="s">
        <v>5</v>
      </c>
      <c r="F31" t="s">
        <v>286</v>
      </c>
      <c r="G31" t="s">
        <v>73</v>
      </c>
      <c r="H31" t="s">
        <v>324</v>
      </c>
      <c r="I31" t="s">
        <v>352</v>
      </c>
      <c r="J31" t="s">
        <v>58</v>
      </c>
      <c r="K31">
        <v>3</v>
      </c>
      <c r="M31">
        <v>0</v>
      </c>
      <c r="N31">
        <v>0</v>
      </c>
      <c r="O31" t="s">
        <v>353</v>
      </c>
      <c r="P31" s="12">
        <v>43004.1731481481</v>
      </c>
      <c r="Q31" s="12">
        <v>43004.2940856482</v>
      </c>
      <c r="R31">
        <v>2.9</v>
      </c>
    </row>
    <row r="32" spans="1:18">
      <c r="A32" t="s">
        <v>269</v>
      </c>
      <c r="B32" t="s">
        <v>29</v>
      </c>
      <c r="C32" t="s">
        <v>354</v>
      </c>
      <c r="D32" t="s">
        <v>293</v>
      </c>
      <c r="E32" t="s">
        <v>5</v>
      </c>
      <c r="F32" t="s">
        <v>302</v>
      </c>
      <c r="G32" t="s">
        <v>73</v>
      </c>
      <c r="H32" t="s">
        <v>73</v>
      </c>
      <c r="I32" t="s">
        <v>355</v>
      </c>
      <c r="J32" t="s">
        <v>58</v>
      </c>
      <c r="K32">
        <v>3</v>
      </c>
      <c r="M32">
        <v>0</v>
      </c>
      <c r="N32">
        <v>0</v>
      </c>
      <c r="O32" t="s">
        <v>303</v>
      </c>
      <c r="P32" s="12">
        <v>43003.8019675926</v>
      </c>
      <c r="Q32" s="12">
        <v>43004.1219444444</v>
      </c>
      <c r="R32">
        <v>7.683333333333</v>
      </c>
    </row>
    <row r="33" spans="1:18">
      <c r="A33" t="s">
        <v>269</v>
      </c>
      <c r="B33" t="s">
        <v>29</v>
      </c>
      <c r="C33" t="s">
        <v>356</v>
      </c>
      <c r="D33" t="s">
        <v>323</v>
      </c>
      <c r="E33" t="s">
        <v>5</v>
      </c>
      <c r="F33" t="s">
        <v>286</v>
      </c>
      <c r="G33" t="s">
        <v>73</v>
      </c>
      <c r="H33" t="s">
        <v>72</v>
      </c>
      <c r="I33" t="s">
        <v>72</v>
      </c>
      <c r="J33" t="s">
        <v>58</v>
      </c>
      <c r="K33">
        <v>3</v>
      </c>
      <c r="M33">
        <v>0</v>
      </c>
      <c r="N33">
        <v>0</v>
      </c>
      <c r="O33" t="s">
        <v>357</v>
      </c>
      <c r="P33" s="12">
        <v>43002.8852893518</v>
      </c>
      <c r="Q33" s="12">
        <v>43003.0250810185</v>
      </c>
      <c r="R33">
        <v>3.35</v>
      </c>
    </row>
    <row r="34" spans="1:18">
      <c r="A34" t="s">
        <v>269</v>
      </c>
      <c r="B34" t="s">
        <v>29</v>
      </c>
      <c r="C34" t="s">
        <v>358</v>
      </c>
      <c r="D34" t="s">
        <v>323</v>
      </c>
      <c r="E34" t="s">
        <v>5</v>
      </c>
      <c r="F34" t="s">
        <v>302</v>
      </c>
      <c r="G34" t="s">
        <v>73</v>
      </c>
      <c r="H34" t="s">
        <v>324</v>
      </c>
      <c r="I34" t="s">
        <v>324</v>
      </c>
      <c r="J34" t="s">
        <v>58</v>
      </c>
      <c r="K34">
        <v>3</v>
      </c>
      <c r="M34">
        <v>0</v>
      </c>
      <c r="N34">
        <v>0</v>
      </c>
      <c r="O34" t="s">
        <v>303</v>
      </c>
      <c r="P34" s="12">
        <v>43002.8436226852</v>
      </c>
      <c r="Q34" s="12">
        <v>43003.0331134259</v>
      </c>
      <c r="R34">
        <v>4.55</v>
      </c>
    </row>
    <row r="35" spans="1:18">
      <c r="A35" t="s">
        <v>269</v>
      </c>
      <c r="B35" t="s">
        <v>29</v>
      </c>
      <c r="C35" t="s">
        <v>359</v>
      </c>
      <c r="D35" t="s">
        <v>323</v>
      </c>
      <c r="E35" t="s">
        <v>5</v>
      </c>
      <c r="F35" t="s">
        <v>286</v>
      </c>
      <c r="G35" t="s">
        <v>73</v>
      </c>
      <c r="H35" t="s">
        <v>324</v>
      </c>
      <c r="I35" t="s">
        <v>324</v>
      </c>
      <c r="J35" t="s">
        <v>58</v>
      </c>
      <c r="K35">
        <v>3</v>
      </c>
      <c r="M35">
        <v>0</v>
      </c>
      <c r="N35">
        <v>0</v>
      </c>
      <c r="O35" t="s">
        <v>353</v>
      </c>
      <c r="P35" s="12">
        <v>43002.4092361111</v>
      </c>
      <c r="Q35" s="12">
        <v>43003.0310185185</v>
      </c>
      <c r="R35">
        <v>14.916666666666</v>
      </c>
    </row>
    <row r="36" spans="1:18">
      <c r="A36" t="s">
        <v>269</v>
      </c>
      <c r="B36" t="s">
        <v>29</v>
      </c>
      <c r="C36" t="s">
        <v>360</v>
      </c>
      <c r="D36" t="s">
        <v>285</v>
      </c>
      <c r="E36" t="s">
        <v>5</v>
      </c>
      <c r="F36" t="s">
        <v>286</v>
      </c>
      <c r="G36" t="s">
        <v>73</v>
      </c>
      <c r="H36" t="s">
        <v>72</v>
      </c>
      <c r="I36" t="s">
        <v>72</v>
      </c>
      <c r="J36" t="s">
        <v>58</v>
      </c>
      <c r="K36">
        <v>3</v>
      </c>
      <c r="M36">
        <v>0</v>
      </c>
      <c r="N36">
        <v>0</v>
      </c>
      <c r="O36" t="s">
        <v>357</v>
      </c>
      <c r="P36" s="12">
        <v>43002.1703472222</v>
      </c>
      <c r="Q36" s="12">
        <v>43002.4675578704</v>
      </c>
      <c r="R36">
        <v>7.133333333333</v>
      </c>
    </row>
    <row r="37" spans="1:18">
      <c r="A37" t="s">
        <v>269</v>
      </c>
      <c r="B37" t="s">
        <v>29</v>
      </c>
      <c r="C37" t="s">
        <v>361</v>
      </c>
      <c r="D37" t="s">
        <v>285</v>
      </c>
      <c r="E37" t="s">
        <v>5</v>
      </c>
      <c r="F37" t="s">
        <v>289</v>
      </c>
      <c r="G37" t="s">
        <v>73</v>
      </c>
      <c r="H37" t="s">
        <v>72</v>
      </c>
      <c r="I37" t="s">
        <v>72</v>
      </c>
      <c r="J37" t="s">
        <v>58</v>
      </c>
      <c r="K37">
        <v>3</v>
      </c>
      <c r="M37">
        <v>0</v>
      </c>
      <c r="N37">
        <v>0</v>
      </c>
      <c r="O37" t="s">
        <v>291</v>
      </c>
      <c r="P37" s="12">
        <v>43001.3026388889</v>
      </c>
      <c r="Q37" s="12">
        <v>43001.8372800926</v>
      </c>
      <c r="R37">
        <v>12.833333333333</v>
      </c>
    </row>
    <row r="38" spans="1:18">
      <c r="A38" t="s">
        <v>269</v>
      </c>
      <c r="B38" t="s">
        <v>29</v>
      </c>
      <c r="C38" t="s">
        <v>362</v>
      </c>
      <c r="D38" t="s">
        <v>349</v>
      </c>
      <c r="E38" t="s">
        <v>5</v>
      </c>
      <c r="F38" t="s">
        <v>272</v>
      </c>
      <c r="G38" t="s">
        <v>73</v>
      </c>
      <c r="H38" t="s">
        <v>73</v>
      </c>
      <c r="I38" t="s">
        <v>363</v>
      </c>
      <c r="J38" t="s">
        <v>58</v>
      </c>
      <c r="K38">
        <v>3</v>
      </c>
      <c r="M38">
        <v>0</v>
      </c>
      <c r="N38">
        <v>0</v>
      </c>
      <c r="O38" t="s">
        <v>274</v>
      </c>
      <c r="P38" s="12">
        <v>43000.1474189815</v>
      </c>
      <c r="Q38" s="12">
        <v>43000.1759027778</v>
      </c>
      <c r="R38">
        <v>0.683333333333</v>
      </c>
    </row>
    <row r="39" spans="1:18">
      <c r="A39" t="s">
        <v>269</v>
      </c>
      <c r="B39" t="s">
        <v>29</v>
      </c>
      <c r="C39" t="s">
        <v>364</v>
      </c>
      <c r="D39" t="s">
        <v>320</v>
      </c>
      <c r="E39" t="s">
        <v>5</v>
      </c>
      <c r="F39" t="s">
        <v>302</v>
      </c>
      <c r="G39" t="s">
        <v>73</v>
      </c>
      <c r="H39" t="s">
        <v>73</v>
      </c>
      <c r="I39" t="s">
        <v>365</v>
      </c>
      <c r="J39" t="s">
        <v>58</v>
      </c>
      <c r="K39">
        <v>3</v>
      </c>
      <c r="M39">
        <v>0</v>
      </c>
      <c r="N39">
        <v>0</v>
      </c>
      <c r="O39" t="s">
        <v>303</v>
      </c>
      <c r="P39" s="12">
        <v>42999.8783217593</v>
      </c>
      <c r="Q39" s="12">
        <v>43000.2268171296</v>
      </c>
      <c r="R39">
        <v>8.366666666666</v>
      </c>
    </row>
    <row r="40" spans="1:18">
      <c r="A40" t="s">
        <v>262</v>
      </c>
      <c r="B40" t="s">
        <v>32</v>
      </c>
      <c r="C40" t="s">
        <v>366</v>
      </c>
      <c r="D40" t="s">
        <v>271</v>
      </c>
      <c r="E40" t="s">
        <v>7</v>
      </c>
      <c r="F40" t="s">
        <v>277</v>
      </c>
      <c r="G40" t="s">
        <v>73</v>
      </c>
      <c r="H40" t="s">
        <v>73</v>
      </c>
      <c r="I40" t="s">
        <v>367</v>
      </c>
      <c r="J40" t="s">
        <v>58</v>
      </c>
      <c r="K40">
        <v>3</v>
      </c>
      <c r="M40">
        <v>0</v>
      </c>
      <c r="N40">
        <v>0</v>
      </c>
      <c r="O40" t="s">
        <v>280</v>
      </c>
      <c r="P40" s="12">
        <v>42998.4932407407</v>
      </c>
      <c r="Q40" s="12">
        <v>42999.0823611111</v>
      </c>
      <c r="R40">
        <v>14.133333333333</v>
      </c>
    </row>
    <row r="41" spans="1:18">
      <c r="A41" t="s">
        <v>269</v>
      </c>
      <c r="B41" t="s">
        <v>29</v>
      </c>
      <c r="C41" t="s">
        <v>368</v>
      </c>
      <c r="D41" t="s">
        <v>323</v>
      </c>
      <c r="E41" t="s">
        <v>5</v>
      </c>
      <c r="F41" t="s">
        <v>272</v>
      </c>
      <c r="G41" t="s">
        <v>73</v>
      </c>
      <c r="H41" t="s">
        <v>352</v>
      </c>
      <c r="I41" t="s">
        <v>352</v>
      </c>
      <c r="J41" t="s">
        <v>58</v>
      </c>
      <c r="K41">
        <v>3</v>
      </c>
      <c r="M41">
        <v>0</v>
      </c>
      <c r="N41">
        <v>0</v>
      </c>
      <c r="O41" t="s">
        <v>274</v>
      </c>
      <c r="P41" s="12">
        <v>42998.1817824074</v>
      </c>
      <c r="Q41" s="12">
        <v>42998.256712963</v>
      </c>
      <c r="R41">
        <v>1.8</v>
      </c>
    </row>
    <row r="42" spans="1:18">
      <c r="A42" t="s">
        <v>269</v>
      </c>
      <c r="B42" t="s">
        <v>29</v>
      </c>
      <c r="C42" t="s">
        <v>369</v>
      </c>
      <c r="D42" t="s">
        <v>320</v>
      </c>
      <c r="E42" t="s">
        <v>5</v>
      </c>
      <c r="F42" t="s">
        <v>272</v>
      </c>
      <c r="G42" t="s">
        <v>73</v>
      </c>
      <c r="H42" t="s">
        <v>73</v>
      </c>
      <c r="I42" t="s">
        <v>370</v>
      </c>
      <c r="J42" t="s">
        <v>58</v>
      </c>
      <c r="K42">
        <v>3</v>
      </c>
      <c r="M42">
        <v>0</v>
      </c>
      <c r="N42">
        <v>0</v>
      </c>
      <c r="O42" t="s">
        <v>274</v>
      </c>
      <c r="P42" s="12">
        <v>42997.8032986111</v>
      </c>
      <c r="Q42" s="12">
        <v>42998.3566782407</v>
      </c>
      <c r="R42">
        <v>13.283333333333</v>
      </c>
    </row>
    <row r="43" spans="1:18">
      <c r="A43" t="s">
        <v>269</v>
      </c>
      <c r="B43" t="s">
        <v>29</v>
      </c>
      <c r="C43" t="s">
        <v>371</v>
      </c>
      <c r="D43" t="s">
        <v>285</v>
      </c>
      <c r="E43" t="s">
        <v>5</v>
      </c>
      <c r="F43" t="s">
        <v>302</v>
      </c>
      <c r="G43" t="s">
        <v>73</v>
      </c>
      <c r="H43" t="s">
        <v>72</v>
      </c>
      <c r="I43" t="s">
        <v>72</v>
      </c>
      <c r="J43" t="s">
        <v>58</v>
      </c>
      <c r="K43">
        <v>3</v>
      </c>
      <c r="M43">
        <v>0</v>
      </c>
      <c r="N43">
        <v>0</v>
      </c>
      <c r="O43" t="s">
        <v>372</v>
      </c>
      <c r="P43" s="12">
        <v>42995.4803703704</v>
      </c>
      <c r="Q43" s="12">
        <v>42995.4813541667</v>
      </c>
      <c r="R43">
        <v>0.016666666666</v>
      </c>
    </row>
    <row r="44" spans="1:18">
      <c r="A44" t="s">
        <v>269</v>
      </c>
      <c r="B44" t="s">
        <v>29</v>
      </c>
      <c r="C44" t="s">
        <v>373</v>
      </c>
      <c r="D44" t="s">
        <v>285</v>
      </c>
      <c r="E44" t="s">
        <v>5</v>
      </c>
      <c r="F44" t="s">
        <v>289</v>
      </c>
      <c r="G44" t="s">
        <v>73</v>
      </c>
      <c r="H44" t="s">
        <v>72</v>
      </c>
      <c r="I44" t="s">
        <v>72</v>
      </c>
      <c r="J44" t="s">
        <v>58</v>
      </c>
      <c r="K44">
        <v>3</v>
      </c>
      <c r="M44">
        <v>0</v>
      </c>
      <c r="N44">
        <v>0</v>
      </c>
      <c r="O44" t="s">
        <v>291</v>
      </c>
      <c r="P44" s="12">
        <v>42995.4723842593</v>
      </c>
      <c r="Q44" s="12">
        <v>42995.4800810185</v>
      </c>
      <c r="R44">
        <v>0.183333333333</v>
      </c>
    </row>
    <row r="45" spans="1:18">
      <c r="A45" t="s">
        <v>269</v>
      </c>
      <c r="B45" t="s">
        <v>29</v>
      </c>
      <c r="C45" t="s">
        <v>374</v>
      </c>
      <c r="D45" t="s">
        <v>285</v>
      </c>
      <c r="E45" t="s">
        <v>5</v>
      </c>
      <c r="F45" t="s">
        <v>375</v>
      </c>
      <c r="G45" t="s">
        <v>73</v>
      </c>
      <c r="H45" t="s">
        <v>72</v>
      </c>
      <c r="I45" t="s">
        <v>72</v>
      </c>
      <c r="J45" t="s">
        <v>58</v>
      </c>
      <c r="K45">
        <v>3</v>
      </c>
      <c r="M45">
        <v>0</v>
      </c>
      <c r="N45">
        <v>0</v>
      </c>
      <c r="O45" t="s">
        <v>376</v>
      </c>
      <c r="P45" s="12">
        <v>42995.4685648148</v>
      </c>
      <c r="Q45" s="12">
        <v>42995.4753356482</v>
      </c>
      <c r="R45">
        <v>0.166666666666</v>
      </c>
    </row>
    <row r="46" spans="1:18">
      <c r="A46" t="s">
        <v>269</v>
      </c>
      <c r="B46" t="s">
        <v>29</v>
      </c>
      <c r="C46" t="s">
        <v>377</v>
      </c>
      <c r="D46" t="s">
        <v>285</v>
      </c>
      <c r="E46" t="s">
        <v>5</v>
      </c>
      <c r="F46" t="s">
        <v>302</v>
      </c>
      <c r="G46" t="s">
        <v>73</v>
      </c>
      <c r="H46" t="s">
        <v>72</v>
      </c>
      <c r="I46" t="s">
        <v>72</v>
      </c>
      <c r="J46" t="s">
        <v>58</v>
      </c>
      <c r="K46">
        <v>3</v>
      </c>
      <c r="M46">
        <v>0</v>
      </c>
      <c r="N46">
        <v>0</v>
      </c>
      <c r="O46" t="s">
        <v>372</v>
      </c>
      <c r="P46" s="12">
        <v>42995.4289814815</v>
      </c>
      <c r="Q46" s="12">
        <v>42995.4717361111</v>
      </c>
      <c r="R46">
        <v>1.033333333333</v>
      </c>
    </row>
    <row r="47" spans="1:18">
      <c r="A47" t="s">
        <v>269</v>
      </c>
      <c r="B47" t="s">
        <v>29</v>
      </c>
      <c r="C47" t="s">
        <v>378</v>
      </c>
      <c r="D47" t="s">
        <v>285</v>
      </c>
      <c r="E47" t="s">
        <v>5</v>
      </c>
      <c r="F47" t="s">
        <v>286</v>
      </c>
      <c r="G47" t="s">
        <v>73</v>
      </c>
      <c r="H47" t="s">
        <v>72</v>
      </c>
      <c r="I47" t="s">
        <v>72</v>
      </c>
      <c r="J47" t="s">
        <v>58</v>
      </c>
      <c r="K47">
        <v>3</v>
      </c>
      <c r="M47">
        <v>0</v>
      </c>
      <c r="N47">
        <v>0</v>
      </c>
      <c r="O47" t="s">
        <v>353</v>
      </c>
      <c r="P47" s="12">
        <v>42995.3609259259</v>
      </c>
      <c r="Q47" s="12">
        <v>42995.4723611111</v>
      </c>
      <c r="R47">
        <v>2.666666666666</v>
      </c>
    </row>
    <row r="48" spans="1:18">
      <c r="A48" t="s">
        <v>269</v>
      </c>
      <c r="B48" t="s">
        <v>29</v>
      </c>
      <c r="C48" t="s">
        <v>379</v>
      </c>
      <c r="D48" t="s">
        <v>285</v>
      </c>
      <c r="E48" t="s">
        <v>5</v>
      </c>
      <c r="F48" t="s">
        <v>289</v>
      </c>
      <c r="G48" t="s">
        <v>73</v>
      </c>
      <c r="H48" t="s">
        <v>72</v>
      </c>
      <c r="I48" t="s">
        <v>72</v>
      </c>
      <c r="J48" t="s">
        <v>58</v>
      </c>
      <c r="K48">
        <v>4</v>
      </c>
      <c r="M48">
        <v>0</v>
      </c>
      <c r="N48">
        <v>0</v>
      </c>
      <c r="O48" t="s">
        <v>380</v>
      </c>
      <c r="P48" s="12">
        <v>42995.0800462963</v>
      </c>
      <c r="Q48" s="12">
        <v>42996.4540162037</v>
      </c>
      <c r="R48">
        <v>32.983333333333</v>
      </c>
    </row>
    <row r="49" spans="1:18">
      <c r="A49" t="s">
        <v>269</v>
      </c>
      <c r="B49" t="s">
        <v>29</v>
      </c>
      <c r="C49" t="s">
        <v>381</v>
      </c>
      <c r="D49" t="s">
        <v>285</v>
      </c>
      <c r="E49" t="s">
        <v>5</v>
      </c>
      <c r="F49" t="s">
        <v>382</v>
      </c>
      <c r="G49" t="s">
        <v>73</v>
      </c>
      <c r="H49" t="s">
        <v>72</v>
      </c>
      <c r="I49" t="s">
        <v>72</v>
      </c>
      <c r="J49" t="s">
        <v>58</v>
      </c>
      <c r="K49">
        <v>3</v>
      </c>
      <c r="M49">
        <v>0</v>
      </c>
      <c r="N49">
        <v>0</v>
      </c>
      <c r="O49" t="s">
        <v>383</v>
      </c>
      <c r="P49" s="12">
        <v>42995.0785069444</v>
      </c>
      <c r="Q49" s="12">
        <v>42995.4699884259</v>
      </c>
      <c r="R49">
        <v>9.4</v>
      </c>
    </row>
    <row r="50" spans="1:18">
      <c r="A50" t="s">
        <v>269</v>
      </c>
      <c r="B50" t="s">
        <v>29</v>
      </c>
      <c r="C50" t="s">
        <v>384</v>
      </c>
      <c r="D50" t="s">
        <v>285</v>
      </c>
      <c r="E50" t="s">
        <v>5</v>
      </c>
      <c r="F50" t="s">
        <v>382</v>
      </c>
      <c r="G50" t="s">
        <v>73</v>
      </c>
      <c r="H50" t="s">
        <v>72</v>
      </c>
      <c r="I50" t="s">
        <v>72</v>
      </c>
      <c r="J50" t="s">
        <v>58</v>
      </c>
      <c r="K50">
        <v>3</v>
      </c>
      <c r="M50">
        <v>0</v>
      </c>
      <c r="N50">
        <v>0</v>
      </c>
      <c r="O50" t="s">
        <v>385</v>
      </c>
      <c r="P50" s="12">
        <v>42995.0784953704</v>
      </c>
      <c r="Q50" s="12">
        <v>42995.1905902778</v>
      </c>
      <c r="R50">
        <v>2.683333333333</v>
      </c>
    </row>
    <row r="51" spans="1:18">
      <c r="A51" t="s">
        <v>269</v>
      </c>
      <c r="B51" t="s">
        <v>29</v>
      </c>
      <c r="C51" t="s">
        <v>386</v>
      </c>
      <c r="D51" t="s">
        <v>387</v>
      </c>
      <c r="E51" t="s">
        <v>5</v>
      </c>
      <c r="F51" t="s">
        <v>289</v>
      </c>
      <c r="G51" t="s">
        <v>73</v>
      </c>
      <c r="H51" t="s">
        <v>72</v>
      </c>
      <c r="I51" t="s">
        <v>72</v>
      </c>
      <c r="J51" t="s">
        <v>58</v>
      </c>
      <c r="K51">
        <v>3</v>
      </c>
      <c r="M51">
        <v>0</v>
      </c>
      <c r="N51">
        <v>0</v>
      </c>
      <c r="O51" t="s">
        <v>291</v>
      </c>
      <c r="P51" s="12">
        <v>42994.2449421296</v>
      </c>
      <c r="Q51" s="12">
        <v>42995.1873148148</v>
      </c>
      <c r="R51">
        <v>22.616666666666</v>
      </c>
    </row>
    <row r="52" spans="1:18">
      <c r="A52" t="s">
        <v>262</v>
      </c>
      <c r="B52" t="s">
        <v>32</v>
      </c>
      <c r="C52" t="s">
        <v>388</v>
      </c>
      <c r="D52" t="s">
        <v>320</v>
      </c>
      <c r="E52" t="s">
        <v>7</v>
      </c>
      <c r="F52" t="s">
        <v>277</v>
      </c>
      <c r="G52" t="s">
        <v>73</v>
      </c>
      <c r="H52" t="s">
        <v>72</v>
      </c>
      <c r="I52" t="s">
        <v>72</v>
      </c>
      <c r="J52" t="s">
        <v>58</v>
      </c>
      <c r="K52">
        <v>3</v>
      </c>
      <c r="M52">
        <v>0</v>
      </c>
      <c r="N52">
        <v>0</v>
      </c>
      <c r="O52" t="s">
        <v>389</v>
      </c>
      <c r="P52" s="12">
        <v>42994.2088310185</v>
      </c>
      <c r="Q52" s="12">
        <v>42995.1864351852</v>
      </c>
      <c r="R52">
        <v>23.466666666666</v>
      </c>
    </row>
    <row r="53" spans="1:18">
      <c r="A53" t="s">
        <v>269</v>
      </c>
      <c r="B53" t="s">
        <v>29</v>
      </c>
      <c r="C53" t="s">
        <v>390</v>
      </c>
      <c r="D53" t="s">
        <v>391</v>
      </c>
      <c r="E53" t="s">
        <v>5</v>
      </c>
      <c r="F53" t="s">
        <v>375</v>
      </c>
      <c r="G53" t="s">
        <v>73</v>
      </c>
      <c r="H53" t="s">
        <v>72</v>
      </c>
      <c r="I53" t="s">
        <v>72</v>
      </c>
      <c r="J53" t="s">
        <v>58</v>
      </c>
      <c r="K53">
        <v>3</v>
      </c>
      <c r="M53">
        <v>0</v>
      </c>
      <c r="N53">
        <v>0</v>
      </c>
      <c r="O53" t="s">
        <v>376</v>
      </c>
      <c r="P53" s="12">
        <v>42994.0136921296</v>
      </c>
      <c r="Q53" s="12">
        <v>42995.1876041667</v>
      </c>
      <c r="R53">
        <v>28.166666666666</v>
      </c>
    </row>
    <row r="54" spans="1:18">
      <c r="A54" t="s">
        <v>269</v>
      </c>
      <c r="B54" t="s">
        <v>29</v>
      </c>
      <c r="C54" t="s">
        <v>392</v>
      </c>
      <c r="D54" t="s">
        <v>285</v>
      </c>
      <c r="E54" t="s">
        <v>5</v>
      </c>
      <c r="F54" t="s">
        <v>286</v>
      </c>
      <c r="G54" t="s">
        <v>73</v>
      </c>
      <c r="H54" t="s">
        <v>72</v>
      </c>
      <c r="I54" t="s">
        <v>72</v>
      </c>
      <c r="J54" t="s">
        <v>58</v>
      </c>
      <c r="K54">
        <v>3</v>
      </c>
      <c r="M54">
        <v>0</v>
      </c>
      <c r="N54">
        <v>0</v>
      </c>
      <c r="O54" t="s">
        <v>357</v>
      </c>
      <c r="P54" s="12">
        <v>42993.8855671296</v>
      </c>
      <c r="Q54" s="12">
        <v>42995.1869560185</v>
      </c>
      <c r="R54">
        <v>31.233333333333</v>
      </c>
    </row>
    <row r="55" spans="1:18">
      <c r="A55" t="s">
        <v>269</v>
      </c>
      <c r="B55" t="s">
        <v>29</v>
      </c>
      <c r="C55" t="s">
        <v>393</v>
      </c>
      <c r="D55" t="s">
        <v>285</v>
      </c>
      <c r="E55" t="s">
        <v>5</v>
      </c>
      <c r="F55" t="s">
        <v>272</v>
      </c>
      <c r="G55" t="s">
        <v>73</v>
      </c>
      <c r="H55" t="s">
        <v>72</v>
      </c>
      <c r="I55" t="s">
        <v>72</v>
      </c>
      <c r="J55" t="s">
        <v>58</v>
      </c>
      <c r="K55">
        <v>3</v>
      </c>
      <c r="M55">
        <v>0</v>
      </c>
      <c r="N55">
        <v>0</v>
      </c>
      <c r="O55" t="s">
        <v>274</v>
      </c>
      <c r="P55" s="12">
        <v>42993.8050115741</v>
      </c>
      <c r="Q55" s="12">
        <v>42994.377962963</v>
      </c>
      <c r="R55">
        <v>13.75</v>
      </c>
    </row>
    <row r="56" spans="1:18">
      <c r="A56" t="s">
        <v>269</v>
      </c>
      <c r="B56" t="s">
        <v>29</v>
      </c>
      <c r="C56" t="s">
        <v>394</v>
      </c>
      <c r="D56" t="s">
        <v>285</v>
      </c>
      <c r="E56" t="s">
        <v>5</v>
      </c>
      <c r="F56" t="s">
        <v>286</v>
      </c>
      <c r="G56" t="s">
        <v>73</v>
      </c>
      <c r="H56" t="s">
        <v>72</v>
      </c>
      <c r="I56" t="s">
        <v>72</v>
      </c>
      <c r="J56" t="s">
        <v>58</v>
      </c>
      <c r="K56">
        <v>3</v>
      </c>
      <c r="M56">
        <v>0</v>
      </c>
      <c r="N56">
        <v>0</v>
      </c>
      <c r="O56" t="s">
        <v>395</v>
      </c>
      <c r="P56" s="12">
        <v>42993.6741087963</v>
      </c>
      <c r="Q56" s="12">
        <v>42993.6747800926</v>
      </c>
      <c r="R56">
        <v>0.016666666666</v>
      </c>
    </row>
    <row r="57" spans="1:18">
      <c r="A57" t="s">
        <v>269</v>
      </c>
      <c r="B57" t="s">
        <v>29</v>
      </c>
      <c r="C57" t="s">
        <v>396</v>
      </c>
      <c r="D57" t="s">
        <v>285</v>
      </c>
      <c r="E57" t="s">
        <v>5</v>
      </c>
      <c r="F57" t="s">
        <v>289</v>
      </c>
      <c r="G57" t="s">
        <v>73</v>
      </c>
      <c r="H57" t="s">
        <v>72</v>
      </c>
      <c r="I57" t="s">
        <v>72</v>
      </c>
      <c r="J57" t="s">
        <v>58</v>
      </c>
      <c r="K57">
        <v>3</v>
      </c>
      <c r="M57">
        <v>0</v>
      </c>
      <c r="N57">
        <v>0</v>
      </c>
      <c r="O57" t="s">
        <v>397</v>
      </c>
      <c r="P57" s="12">
        <v>42993.3952893519</v>
      </c>
      <c r="Q57" s="12">
        <v>42993.6382060185</v>
      </c>
      <c r="R57">
        <v>5.833333333333</v>
      </c>
    </row>
    <row r="58" spans="1:18">
      <c r="A58" t="s">
        <v>269</v>
      </c>
      <c r="B58" t="s">
        <v>29</v>
      </c>
      <c r="C58" t="s">
        <v>398</v>
      </c>
      <c r="D58" t="s">
        <v>285</v>
      </c>
      <c r="E58" t="s">
        <v>5</v>
      </c>
      <c r="F58" t="s">
        <v>289</v>
      </c>
      <c r="G58" t="s">
        <v>73</v>
      </c>
      <c r="H58" t="s">
        <v>72</v>
      </c>
      <c r="I58" t="s">
        <v>72</v>
      </c>
      <c r="J58" t="s">
        <v>58</v>
      </c>
      <c r="K58">
        <v>3</v>
      </c>
      <c r="M58">
        <v>0</v>
      </c>
      <c r="N58">
        <v>0</v>
      </c>
      <c r="O58" t="s">
        <v>291</v>
      </c>
      <c r="P58" s="12">
        <v>42993.3421527778</v>
      </c>
      <c r="Q58" s="12">
        <v>42993.6396412037</v>
      </c>
      <c r="R58">
        <v>7.133333333333</v>
      </c>
    </row>
    <row r="59" spans="1:18">
      <c r="A59" t="s">
        <v>269</v>
      </c>
      <c r="B59" t="s">
        <v>29</v>
      </c>
      <c r="C59" t="s">
        <v>399</v>
      </c>
      <c r="D59" t="s">
        <v>323</v>
      </c>
      <c r="E59" t="s">
        <v>5</v>
      </c>
      <c r="F59" t="s">
        <v>302</v>
      </c>
      <c r="G59" t="s">
        <v>73</v>
      </c>
      <c r="H59" t="s">
        <v>352</v>
      </c>
      <c r="I59" t="s">
        <v>352</v>
      </c>
      <c r="J59" t="s">
        <v>58</v>
      </c>
      <c r="K59">
        <v>3</v>
      </c>
      <c r="M59">
        <v>0</v>
      </c>
      <c r="N59">
        <v>0</v>
      </c>
      <c r="O59" t="s">
        <v>400</v>
      </c>
      <c r="P59" s="12">
        <v>42993.1994444444</v>
      </c>
      <c r="Q59" s="12">
        <v>42993.2673726852</v>
      </c>
      <c r="R59">
        <v>1.633333333333</v>
      </c>
    </row>
    <row r="60" spans="1:18">
      <c r="A60" t="s">
        <v>269</v>
      </c>
      <c r="B60" t="s">
        <v>29</v>
      </c>
      <c r="C60" t="s">
        <v>401</v>
      </c>
      <c r="D60" t="s">
        <v>349</v>
      </c>
      <c r="E60" t="s">
        <v>5</v>
      </c>
      <c r="F60" t="s">
        <v>375</v>
      </c>
      <c r="G60" t="s">
        <v>73</v>
      </c>
      <c r="H60" t="s">
        <v>72</v>
      </c>
      <c r="I60" t="s">
        <v>72</v>
      </c>
      <c r="J60" t="s">
        <v>58</v>
      </c>
      <c r="K60">
        <v>3</v>
      </c>
      <c r="M60">
        <v>0</v>
      </c>
      <c r="N60">
        <v>0</v>
      </c>
      <c r="O60" t="s">
        <v>376</v>
      </c>
      <c r="P60" s="12">
        <v>42993.0133333333</v>
      </c>
      <c r="Q60" s="12">
        <v>42993.0294212963</v>
      </c>
      <c r="R60">
        <v>0.383333333333</v>
      </c>
    </row>
    <row r="61" spans="1:18">
      <c r="A61" t="s">
        <v>269</v>
      </c>
      <c r="B61" t="s">
        <v>29</v>
      </c>
      <c r="C61" t="s">
        <v>402</v>
      </c>
      <c r="D61" t="s">
        <v>271</v>
      </c>
      <c r="E61" t="s">
        <v>5</v>
      </c>
      <c r="F61" t="s">
        <v>272</v>
      </c>
      <c r="G61" t="s">
        <v>73</v>
      </c>
      <c r="H61" t="s">
        <v>403</v>
      </c>
      <c r="I61" t="s">
        <v>404</v>
      </c>
      <c r="J61" t="s">
        <v>58</v>
      </c>
      <c r="K61">
        <v>3</v>
      </c>
      <c r="M61">
        <v>0</v>
      </c>
      <c r="N61">
        <v>0</v>
      </c>
      <c r="O61" t="s">
        <v>274</v>
      </c>
      <c r="P61" s="12">
        <v>42992.805</v>
      </c>
      <c r="Q61" s="12">
        <v>42992.935462963</v>
      </c>
      <c r="R61">
        <v>3.133333333333</v>
      </c>
    </row>
    <row r="62" spans="1:18">
      <c r="A62" t="s">
        <v>269</v>
      </c>
      <c r="B62" t="s">
        <v>29</v>
      </c>
      <c r="C62" t="s">
        <v>405</v>
      </c>
      <c r="D62" t="s">
        <v>285</v>
      </c>
      <c r="E62" t="s">
        <v>8</v>
      </c>
      <c r="F62" t="s">
        <v>406</v>
      </c>
      <c r="G62" t="s">
        <v>73</v>
      </c>
      <c r="H62" t="s">
        <v>72</v>
      </c>
      <c r="I62" t="s">
        <v>72</v>
      </c>
      <c r="J62" t="s">
        <v>58</v>
      </c>
      <c r="K62">
        <v>3</v>
      </c>
      <c r="M62">
        <v>0</v>
      </c>
      <c r="N62">
        <v>0</v>
      </c>
      <c r="O62" t="s">
        <v>407</v>
      </c>
      <c r="P62" s="12">
        <v>42992.4352083333</v>
      </c>
      <c r="Q62" s="12">
        <v>42992.7261805556</v>
      </c>
      <c r="R62">
        <v>6.983333333333</v>
      </c>
    </row>
    <row r="63" spans="1:18">
      <c r="A63" t="s">
        <v>269</v>
      </c>
      <c r="B63" t="s">
        <v>29</v>
      </c>
      <c r="C63" t="s">
        <v>408</v>
      </c>
      <c r="D63" t="s">
        <v>285</v>
      </c>
      <c r="E63" t="s">
        <v>5</v>
      </c>
      <c r="F63" t="s">
        <v>375</v>
      </c>
      <c r="G63" t="s">
        <v>73</v>
      </c>
      <c r="H63" t="s">
        <v>72</v>
      </c>
      <c r="I63" t="s">
        <v>72</v>
      </c>
      <c r="J63" t="s">
        <v>58</v>
      </c>
      <c r="K63">
        <v>3</v>
      </c>
      <c r="M63">
        <v>0</v>
      </c>
      <c r="N63">
        <v>0</v>
      </c>
      <c r="O63" t="s">
        <v>376</v>
      </c>
      <c r="P63" s="12">
        <v>42992.0140277778</v>
      </c>
      <c r="Q63" s="12">
        <v>42992.3509143519</v>
      </c>
      <c r="R63">
        <v>8.083333333333</v>
      </c>
    </row>
    <row r="64" spans="1:18">
      <c r="A64" t="s">
        <v>269</v>
      </c>
      <c r="B64" t="s">
        <v>29</v>
      </c>
      <c r="C64" t="s">
        <v>409</v>
      </c>
      <c r="D64" t="s">
        <v>285</v>
      </c>
      <c r="E64" t="s">
        <v>5</v>
      </c>
      <c r="F64" t="s">
        <v>272</v>
      </c>
      <c r="G64" t="s">
        <v>73</v>
      </c>
      <c r="H64" t="s">
        <v>324</v>
      </c>
      <c r="I64" t="s">
        <v>324</v>
      </c>
      <c r="J64" t="s">
        <v>58</v>
      </c>
      <c r="K64">
        <v>3</v>
      </c>
      <c r="M64">
        <v>0</v>
      </c>
      <c r="N64">
        <v>0</v>
      </c>
      <c r="O64" t="s">
        <v>300</v>
      </c>
      <c r="P64" s="12">
        <v>42991.7980439815</v>
      </c>
      <c r="Q64" s="12">
        <v>42991.8524884259</v>
      </c>
      <c r="R64">
        <v>1.3</v>
      </c>
    </row>
    <row r="65" spans="1:18">
      <c r="A65" t="s">
        <v>269</v>
      </c>
      <c r="B65" t="s">
        <v>29</v>
      </c>
      <c r="C65" t="s">
        <v>410</v>
      </c>
      <c r="D65" t="s">
        <v>285</v>
      </c>
      <c r="E65" t="s">
        <v>5</v>
      </c>
      <c r="F65" t="s">
        <v>375</v>
      </c>
      <c r="G65" t="s">
        <v>73</v>
      </c>
      <c r="H65" t="s">
        <v>324</v>
      </c>
      <c r="I65" t="s">
        <v>324</v>
      </c>
      <c r="J65" t="s">
        <v>58</v>
      </c>
      <c r="K65">
        <v>3</v>
      </c>
      <c r="M65">
        <v>0</v>
      </c>
      <c r="N65">
        <v>0</v>
      </c>
      <c r="O65" t="s">
        <v>376</v>
      </c>
      <c r="P65" s="12">
        <v>42991.0137037037</v>
      </c>
      <c r="Q65" s="12">
        <v>42991.8502083333</v>
      </c>
      <c r="R65">
        <v>20.083333333333</v>
      </c>
    </row>
    <row r="66" spans="1:18">
      <c r="A66" t="s">
        <v>269</v>
      </c>
      <c r="B66" t="s">
        <v>29</v>
      </c>
      <c r="C66" t="s">
        <v>411</v>
      </c>
      <c r="D66" t="s">
        <v>285</v>
      </c>
      <c r="E66" t="s">
        <v>5</v>
      </c>
      <c r="F66" t="s">
        <v>302</v>
      </c>
      <c r="G66" t="s">
        <v>73</v>
      </c>
      <c r="H66" t="s">
        <v>324</v>
      </c>
      <c r="I66" t="s">
        <v>324</v>
      </c>
      <c r="J66" t="s">
        <v>58</v>
      </c>
      <c r="K66">
        <v>3</v>
      </c>
      <c r="M66">
        <v>0</v>
      </c>
      <c r="N66">
        <v>0</v>
      </c>
      <c r="O66" t="s">
        <v>303</v>
      </c>
      <c r="P66" s="12">
        <v>42990.9078009259</v>
      </c>
      <c r="Q66" s="12">
        <v>42991.3918634259</v>
      </c>
      <c r="R66">
        <v>11.616666666666</v>
      </c>
    </row>
    <row r="67" spans="1:18">
      <c r="A67" t="s">
        <v>269</v>
      </c>
      <c r="B67" t="s">
        <v>29</v>
      </c>
      <c r="C67" t="s">
        <v>412</v>
      </c>
      <c r="D67" t="s">
        <v>413</v>
      </c>
      <c r="E67" t="s">
        <v>5</v>
      </c>
      <c r="F67" t="s">
        <v>272</v>
      </c>
      <c r="G67" t="s">
        <v>73</v>
      </c>
      <c r="H67" t="s">
        <v>324</v>
      </c>
      <c r="I67" t="s">
        <v>324</v>
      </c>
      <c r="J67" t="s">
        <v>58</v>
      </c>
      <c r="K67">
        <v>3</v>
      </c>
      <c r="M67">
        <v>0</v>
      </c>
      <c r="N67">
        <v>0</v>
      </c>
      <c r="O67" t="s">
        <v>300</v>
      </c>
      <c r="P67" s="12">
        <v>42990.8119675926</v>
      </c>
      <c r="Q67" s="12">
        <v>42991.2831712963</v>
      </c>
      <c r="R67">
        <v>11.316666666666</v>
      </c>
    </row>
  </sheetData>
  <pageMargins left="0.699305555555556" right="0.699305555555556" top="0.75" bottom="0.75" header="0.3" footer="0.3"/>
  <headerFooter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9"/>
  <dimension ref="A2:B29"/>
  <sheetViews>
    <sheetView workbookViewId="0">
      <selection activeCell="E16" sqref="E16"/>
    </sheetView>
  </sheetViews>
  <sheetFormatPr defaultColWidth="9" defaultRowHeight="13.5" outlineLevelCol="1"/>
  <cols>
    <col min="1" max="1" width="33.8571428571429" customWidth="1"/>
    <col min="2" max="2" width="20.2857142857143" customWidth="1"/>
    <col min="3" max="3" width="17" customWidth="1"/>
    <col min="4" max="4" width="12.8571428571429" customWidth="1"/>
    <col min="5" max="5" width="20.1428571428571" customWidth="1"/>
    <col min="6" max="6" width="29" customWidth="1"/>
    <col min="7" max="7" width="11.7142857142857" customWidth="1"/>
    <col min="8" max="8" width="19.5714285714286" customWidth="1"/>
    <col min="9" max="9" width="13.8571428571429" customWidth="1"/>
    <col min="10" max="10" width="14" customWidth="1"/>
    <col min="11" max="11" width="17.2857142857143" customWidth="1"/>
    <col min="12" max="12" width="26.2857142857143" customWidth="1"/>
    <col min="13" max="13" width="23.8571428571429" customWidth="1"/>
    <col min="14" max="14" width="19.4285714285714" customWidth="1"/>
    <col min="15" max="15" width="21.7142857142857" customWidth="1"/>
    <col min="16" max="16" width="17" customWidth="1"/>
    <col min="17" max="17" width="7.57142857142857" customWidth="1"/>
    <col min="18" max="18" width="11.5714285714286" customWidth="1"/>
    <col min="19" max="19" width="26.2857142857143" customWidth="1"/>
    <col min="20" max="20" width="23.8571428571429" customWidth="1"/>
    <col min="21" max="21" width="17.5714285714286" customWidth="1"/>
    <col min="22" max="22" width="19.4285714285714" customWidth="1"/>
    <col min="23" max="23" width="21.7142857142857" customWidth="1"/>
    <col min="24" max="24" width="14" customWidth="1"/>
    <col min="25" max="25" width="17" customWidth="1"/>
    <col min="26" max="26" width="7.57142857142857" customWidth="1"/>
    <col min="27" max="27" width="11.5714285714286" customWidth="1"/>
    <col min="28" max="382" width="11.2857142857143" customWidth="1"/>
    <col min="383" max="383" width="7.57142857142857" customWidth="1"/>
    <col min="384" max="384" width="11.5714285714286" customWidth="1"/>
  </cols>
  <sheetData>
    <row r="2" spans="1:2">
      <c r="A2" t="s">
        <v>46</v>
      </c>
      <c r="B2" t="s">
        <v>414</v>
      </c>
    </row>
    <row r="4" spans="1:2">
      <c r="A4" t="s">
        <v>48</v>
      </c>
      <c r="B4" t="s">
        <v>415</v>
      </c>
    </row>
    <row r="5" spans="1:2">
      <c r="A5" s="2" t="s">
        <v>78</v>
      </c>
      <c r="B5">
        <v>1</v>
      </c>
    </row>
    <row r="6" ht="12" customHeight="1" spans="1:2">
      <c r="A6" s="2" t="s">
        <v>63</v>
      </c>
      <c r="B6">
        <v>15</v>
      </c>
    </row>
    <row r="7" spans="1:2">
      <c r="A7" s="2" t="s">
        <v>60</v>
      </c>
      <c r="B7">
        <v>27</v>
      </c>
    </row>
    <row r="8" spans="1:2">
      <c r="A8" s="2" t="s">
        <v>74</v>
      </c>
      <c r="B8">
        <v>3</v>
      </c>
    </row>
    <row r="9" spans="1:2">
      <c r="A9" s="2" t="s">
        <v>73</v>
      </c>
      <c r="B9">
        <v>66</v>
      </c>
    </row>
    <row r="10" spans="1:2">
      <c r="A10" s="2" t="s">
        <v>65</v>
      </c>
      <c r="B10">
        <v>19</v>
      </c>
    </row>
    <row r="11" spans="1:2">
      <c r="A11" s="2" t="s">
        <v>64</v>
      </c>
      <c r="B11">
        <v>9</v>
      </c>
    </row>
    <row r="12" spans="1:2">
      <c r="A12" s="2" t="s">
        <v>80</v>
      </c>
      <c r="B12">
        <v>1</v>
      </c>
    </row>
    <row r="13" spans="1:2">
      <c r="A13" s="2" t="s">
        <v>68</v>
      </c>
      <c r="B13">
        <v>16</v>
      </c>
    </row>
    <row r="14" spans="1:2">
      <c r="A14" s="2" t="s">
        <v>69</v>
      </c>
      <c r="B14">
        <v>1</v>
      </c>
    </row>
    <row r="15" spans="1:2">
      <c r="A15" s="2" t="s">
        <v>76</v>
      </c>
      <c r="B15">
        <v>2</v>
      </c>
    </row>
    <row r="16" spans="1:2">
      <c r="A16" s="2" t="s">
        <v>79</v>
      </c>
      <c r="B16">
        <v>1</v>
      </c>
    </row>
    <row r="17" spans="1:2">
      <c r="A17" s="2" t="s">
        <v>66</v>
      </c>
      <c r="B17">
        <v>2</v>
      </c>
    </row>
    <row r="18" spans="1:2">
      <c r="A18" s="2" t="s">
        <v>67</v>
      </c>
      <c r="B18">
        <v>1</v>
      </c>
    </row>
    <row r="19" spans="1:2">
      <c r="A19" s="2" t="s">
        <v>75</v>
      </c>
      <c r="B19">
        <v>2</v>
      </c>
    </row>
    <row r="20" spans="1:2">
      <c r="A20" s="2" t="s">
        <v>62</v>
      </c>
      <c r="B20">
        <v>3</v>
      </c>
    </row>
    <row r="21" spans="1:2">
      <c r="A21" s="2" t="s">
        <v>77</v>
      </c>
      <c r="B21">
        <v>2</v>
      </c>
    </row>
    <row r="22" spans="1:2">
      <c r="A22" s="2" t="s">
        <v>59</v>
      </c>
      <c r="B22">
        <v>14</v>
      </c>
    </row>
    <row r="23" spans="1:2">
      <c r="A23" s="2" t="s">
        <v>57</v>
      </c>
      <c r="B23">
        <v>75</v>
      </c>
    </row>
    <row r="24" spans="1:2">
      <c r="A24" s="2" t="s">
        <v>71</v>
      </c>
      <c r="B24">
        <v>1</v>
      </c>
    </row>
    <row r="25" spans="1:2">
      <c r="A25" s="2" t="s">
        <v>70</v>
      </c>
      <c r="B25">
        <v>1</v>
      </c>
    </row>
    <row r="26" spans="1:2">
      <c r="A26" s="2" t="s">
        <v>72</v>
      </c>
      <c r="B26">
        <v>3</v>
      </c>
    </row>
    <row r="27" spans="1:2">
      <c r="A27" s="2" t="s">
        <v>61</v>
      </c>
      <c r="B27">
        <v>6</v>
      </c>
    </row>
    <row r="28" spans="1:1">
      <c r="A28" s="2" t="s">
        <v>416</v>
      </c>
    </row>
    <row r="29" spans="1:2">
      <c r="A29" s="2" t="s">
        <v>105</v>
      </c>
      <c r="B29">
        <v>271</v>
      </c>
    </row>
  </sheetData>
  <pageMargins left="0.699305555555556" right="0.699305555555556" top="0.75" bottom="0.75" header="0.3" footer="0.3"/>
  <headerFooter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0"/>
  <dimension ref="A1:M73"/>
  <sheetViews>
    <sheetView workbookViewId="0">
      <selection activeCell="D8" sqref="D8"/>
    </sheetView>
  </sheetViews>
  <sheetFormatPr defaultColWidth="9" defaultRowHeight="12.75"/>
  <cols>
    <col min="1" max="1" width="38.1428571428571" style="4" customWidth="1"/>
    <col min="2" max="2" width="10.1428571428571" style="4" customWidth="1"/>
    <col min="3" max="8" width="9.14285714285714" style="4" customWidth="1"/>
    <col min="9" max="9" width="10.7142857142857" style="4" customWidth="1"/>
    <col min="10" max="16384" width="9.14285714285714" style="4" customWidth="1"/>
  </cols>
  <sheetData>
    <row r="1" spans="1:2">
      <c r="A1" s="5" t="s">
        <v>417</v>
      </c>
      <c r="B1" s="6" t="s">
        <v>418</v>
      </c>
    </row>
    <row r="5" ht="13.5" customHeight="1" spans="1:13">
      <c r="A5" s="7"/>
      <c r="I5" s="7"/>
      <c r="M5" s="2"/>
    </row>
    <row r="6" ht="13.5" customHeight="1" spans="1:13">
      <c r="A6" s="1" t="s">
        <v>48</v>
      </c>
      <c r="B6" s="8" t="s">
        <v>255</v>
      </c>
      <c r="C6" s="9">
        <v>42964</v>
      </c>
      <c r="D6" s="8">
        <v>42979</v>
      </c>
      <c r="E6" s="8"/>
      <c r="F6" s="8"/>
      <c r="G6" s="8"/>
      <c r="M6" s="2"/>
    </row>
    <row r="7" ht="13.5" customHeight="1" spans="1:13">
      <c r="A7" s="7" t="s">
        <v>57</v>
      </c>
      <c r="B7" s="4">
        <f>C7+SUM(C7,D7)</f>
        <v>461</v>
      </c>
      <c r="C7" s="10">
        <v>193</v>
      </c>
      <c r="D7" s="4">
        <v>75</v>
      </c>
      <c r="M7" s="2"/>
    </row>
    <row r="8" ht="13.5" customHeight="1" spans="1:13">
      <c r="A8" s="7" t="s">
        <v>75</v>
      </c>
      <c r="B8" s="4">
        <f>SUM(C8,D8)</f>
        <v>9</v>
      </c>
      <c r="C8" s="10">
        <v>7</v>
      </c>
      <c r="D8" s="4">
        <v>2</v>
      </c>
      <c r="M8" s="2"/>
    </row>
    <row r="9" ht="13.5" customHeight="1" spans="1:13">
      <c r="A9" s="7" t="s">
        <v>68</v>
      </c>
      <c r="B9" s="4">
        <v>36</v>
      </c>
      <c r="C9" s="10">
        <v>20</v>
      </c>
      <c r="D9" s="4">
        <v>16</v>
      </c>
      <c r="M9" s="2"/>
    </row>
    <row r="10" ht="13.5" customHeight="1" spans="1:13">
      <c r="A10" s="7" t="s">
        <v>60</v>
      </c>
      <c r="B10" s="4">
        <v>44</v>
      </c>
      <c r="C10" s="10">
        <v>17</v>
      </c>
      <c r="D10" s="4">
        <v>27</v>
      </c>
      <c r="M10" s="2"/>
    </row>
    <row r="11" ht="13.5" customHeight="1" spans="1:13">
      <c r="A11" s="7" t="s">
        <v>64</v>
      </c>
      <c r="B11" s="4">
        <v>29</v>
      </c>
      <c r="C11" s="10">
        <v>20</v>
      </c>
      <c r="D11" s="4">
        <v>9</v>
      </c>
      <c r="M11" s="2"/>
    </row>
    <row r="12" ht="13.5" customHeight="1" spans="1:13">
      <c r="A12" s="7" t="s">
        <v>76</v>
      </c>
      <c r="B12" s="4">
        <v>3</v>
      </c>
      <c r="C12" s="10">
        <v>1</v>
      </c>
      <c r="D12" s="4">
        <v>2</v>
      </c>
      <c r="M12" s="2"/>
    </row>
    <row r="13" ht="13.5" customHeight="1" spans="1:13">
      <c r="A13" s="7" t="s">
        <v>61</v>
      </c>
      <c r="B13" s="4">
        <v>18</v>
      </c>
      <c r="C13" s="10">
        <v>12</v>
      </c>
      <c r="D13" s="4">
        <v>6</v>
      </c>
      <c r="M13" s="2"/>
    </row>
    <row r="14" ht="13.5" customHeight="1" spans="1:13">
      <c r="A14" s="7" t="s">
        <v>72</v>
      </c>
      <c r="B14" s="4">
        <v>4</v>
      </c>
      <c r="C14" s="10">
        <v>1</v>
      </c>
      <c r="D14" s="4">
        <v>3</v>
      </c>
      <c r="M14" s="2"/>
    </row>
    <row r="15" ht="13.5" customHeight="1" spans="1:13">
      <c r="A15" s="7" t="s">
        <v>63</v>
      </c>
      <c r="B15" s="4">
        <v>27</v>
      </c>
      <c r="C15" s="10">
        <v>12</v>
      </c>
      <c r="D15" s="4">
        <v>15</v>
      </c>
      <c r="M15" s="2"/>
    </row>
    <row r="16" ht="13.5" customHeight="1" spans="1:13">
      <c r="A16" s="7" t="s">
        <v>79</v>
      </c>
      <c r="B16" s="4">
        <v>5</v>
      </c>
      <c r="C16" s="10">
        <v>4</v>
      </c>
      <c r="D16" s="4">
        <v>1</v>
      </c>
      <c r="M16" s="2"/>
    </row>
    <row r="17" ht="13.5" customHeight="1" spans="1:13">
      <c r="A17" s="7" t="s">
        <v>59</v>
      </c>
      <c r="B17" s="4">
        <v>24</v>
      </c>
      <c r="C17" s="10">
        <v>10</v>
      </c>
      <c r="D17" s="4">
        <v>14</v>
      </c>
      <c r="M17" s="2"/>
    </row>
    <row r="18" ht="13.5" customHeight="1" spans="1:13">
      <c r="A18" s="7" t="s">
        <v>419</v>
      </c>
      <c r="B18" s="4">
        <v>4</v>
      </c>
      <c r="C18" s="10">
        <v>2</v>
      </c>
      <c r="D18" s="4">
        <v>2</v>
      </c>
      <c r="M18" s="2"/>
    </row>
    <row r="19" ht="13.5" customHeight="1" spans="1:13">
      <c r="A19" s="7" t="s">
        <v>62</v>
      </c>
      <c r="B19" s="4">
        <v>4</v>
      </c>
      <c r="C19" s="10">
        <v>1</v>
      </c>
      <c r="D19" s="4">
        <v>3</v>
      </c>
      <c r="M19" s="2"/>
    </row>
    <row r="20" ht="13.5" customHeight="1" spans="1:13">
      <c r="A20" s="7" t="s">
        <v>65</v>
      </c>
      <c r="B20" s="4">
        <v>21</v>
      </c>
      <c r="C20" s="10">
        <v>2</v>
      </c>
      <c r="D20" s="4">
        <v>19</v>
      </c>
      <c r="M20" s="2"/>
    </row>
    <row r="21" ht="13.5" customHeight="1" spans="1:13">
      <c r="A21" s="7" t="s">
        <v>69</v>
      </c>
      <c r="B21" s="4">
        <v>2</v>
      </c>
      <c r="C21" s="10">
        <v>1</v>
      </c>
      <c r="D21" s="4">
        <v>1</v>
      </c>
      <c r="M21" s="2"/>
    </row>
    <row r="22" ht="13.5" customHeight="1" spans="1:13">
      <c r="A22" s="7" t="s">
        <v>80</v>
      </c>
      <c r="B22" s="4">
        <v>2</v>
      </c>
      <c r="C22" s="10">
        <v>1</v>
      </c>
      <c r="D22" s="4">
        <v>1</v>
      </c>
      <c r="M22" s="2"/>
    </row>
    <row r="23" ht="13.5" customHeight="1" spans="1:13">
      <c r="A23" s="7" t="s">
        <v>420</v>
      </c>
      <c r="B23" s="4">
        <f>SUM(C23,D23)</f>
        <v>141</v>
      </c>
      <c r="C23" s="10">
        <v>64</v>
      </c>
      <c r="D23" s="4">
        <v>77</v>
      </c>
      <c r="M23" s="2"/>
    </row>
    <row r="24" ht="13.5" customHeight="1" spans="13:13">
      <c r="M24" s="2"/>
    </row>
    <row r="25" ht="13.5" customHeight="1" spans="1:13">
      <c r="A25" s="7"/>
      <c r="M25" s="2"/>
    </row>
    <row r="26" ht="13.5" customHeight="1" spans="1:13">
      <c r="A26" s="1" t="s">
        <v>48</v>
      </c>
      <c r="M26" s="2"/>
    </row>
    <row r="27" ht="13.5" customHeight="1" spans="1:13">
      <c r="A27" s="7" t="s">
        <v>420</v>
      </c>
      <c r="B27" s="4">
        <v>77</v>
      </c>
      <c r="M27" s="2"/>
    </row>
    <row r="28" ht="13.5" customHeight="1" spans="1:13">
      <c r="A28" s="7" t="s">
        <v>57</v>
      </c>
      <c r="B28" s="4">
        <v>76</v>
      </c>
      <c r="M28" s="2"/>
    </row>
    <row r="29" ht="13.5" customHeight="1" spans="1:13">
      <c r="A29" s="7" t="s">
        <v>60</v>
      </c>
      <c r="B29" s="4">
        <v>27</v>
      </c>
      <c r="M29" s="2"/>
    </row>
    <row r="30" ht="13.5" customHeight="1" spans="1:13">
      <c r="A30" s="7" t="s">
        <v>65</v>
      </c>
      <c r="B30" s="4">
        <v>19</v>
      </c>
      <c r="M30" s="2"/>
    </row>
    <row r="31" ht="13.5" customHeight="1" spans="1:13">
      <c r="A31" s="7" t="s">
        <v>68</v>
      </c>
      <c r="B31" s="4">
        <v>16</v>
      </c>
      <c r="M31" s="2"/>
    </row>
    <row r="32" ht="13.5" customHeight="1" spans="1:13">
      <c r="A32" s="7" t="s">
        <v>63</v>
      </c>
      <c r="B32" s="4">
        <v>15</v>
      </c>
      <c r="M32" s="2"/>
    </row>
    <row r="33" ht="13.5" customHeight="1" spans="1:13">
      <c r="A33" s="7" t="s">
        <v>59</v>
      </c>
      <c r="B33" s="4">
        <v>14</v>
      </c>
      <c r="M33" s="2"/>
    </row>
    <row r="34" ht="13.5" customHeight="1" spans="1:13">
      <c r="A34" s="7" t="s">
        <v>64</v>
      </c>
      <c r="B34" s="4">
        <v>9</v>
      </c>
      <c r="M34" s="2"/>
    </row>
    <row r="35" ht="13.5" customHeight="1" spans="1:13">
      <c r="A35" s="7" t="s">
        <v>61</v>
      </c>
      <c r="B35" s="4">
        <v>6</v>
      </c>
      <c r="M35" s="2"/>
    </row>
    <row r="36" ht="13.5" customHeight="1" spans="1:13">
      <c r="A36" s="7" t="s">
        <v>79</v>
      </c>
      <c r="B36" s="4">
        <v>4</v>
      </c>
      <c r="M36" s="2"/>
    </row>
    <row r="37" spans="1:1">
      <c r="A37" s="7"/>
    </row>
    <row r="38" spans="1:1">
      <c r="A38" s="7"/>
    </row>
    <row r="39" spans="1:1">
      <c r="A39" s="7"/>
    </row>
    <row r="40" spans="1:1">
      <c r="A40" s="7"/>
    </row>
    <row r="41" spans="1:1">
      <c r="A41" s="7"/>
    </row>
    <row r="42" ht="13.5" customHeight="1" spans="1:4">
      <c r="A42" s="7"/>
      <c r="D42" s="2"/>
    </row>
    <row r="43" ht="13.5" customHeight="1" spans="1:4">
      <c r="A43" s="7"/>
      <c r="D43" s="2"/>
    </row>
    <row r="44" ht="13.5" customHeight="1" spans="1:4">
      <c r="A44" s="7"/>
      <c r="D44" s="2"/>
    </row>
    <row r="45" ht="13.5" customHeight="1" spans="1:4">
      <c r="A45" s="7"/>
      <c r="D45" s="2"/>
    </row>
    <row r="46" ht="13.5" customHeight="1" spans="1:4">
      <c r="A46" s="7"/>
      <c r="D46" s="2"/>
    </row>
    <row r="47" ht="13.5" customHeight="1" spans="1:8">
      <c r="A47" s="7"/>
      <c r="D47" s="2"/>
      <c r="F47" s="7"/>
      <c r="G47" s="7"/>
      <c r="H47" s="7"/>
    </row>
    <row r="48" ht="13.5" customHeight="1" spans="1:8">
      <c r="A48" s="7"/>
      <c r="D48" s="2"/>
      <c r="F48" s="7"/>
      <c r="G48" s="7"/>
      <c r="H48" s="7"/>
    </row>
    <row r="49" ht="13.5" customHeight="1" spans="1:8">
      <c r="A49" s="7"/>
      <c r="D49" s="2"/>
      <c r="F49" s="7"/>
      <c r="G49" s="7"/>
      <c r="H49" s="7"/>
    </row>
    <row r="50" ht="13.5" customHeight="1" spans="1:8">
      <c r="A50" s="7"/>
      <c r="D50" s="2"/>
      <c r="F50" s="7"/>
      <c r="G50" s="7"/>
      <c r="H50" s="7"/>
    </row>
    <row r="51" ht="13.5" customHeight="1" spans="1:8">
      <c r="A51" s="2"/>
      <c r="D51" s="2"/>
      <c r="F51" s="7"/>
      <c r="G51" s="7"/>
      <c r="H51" s="7"/>
    </row>
    <row r="52" ht="13.5" customHeight="1" spans="1:8">
      <c r="A52" s="2"/>
      <c r="D52" s="2"/>
      <c r="F52" s="7"/>
      <c r="G52" s="7"/>
      <c r="H52" s="7"/>
    </row>
    <row r="53" ht="13.5" customHeight="1" spans="1:8">
      <c r="A53" s="2"/>
      <c r="D53" s="2"/>
      <c r="F53" s="7"/>
      <c r="G53" s="7"/>
      <c r="H53" s="7"/>
    </row>
    <row r="54" ht="13.5" customHeight="1" spans="1:8">
      <c r="A54" s="2"/>
      <c r="D54" s="2"/>
      <c r="F54" s="2"/>
      <c r="G54" s="2"/>
      <c r="H54" s="2"/>
    </row>
    <row r="55" ht="13.5" customHeight="1" spans="1:4">
      <c r="A55" s="2"/>
      <c r="D55" s="2"/>
    </row>
    <row r="56" ht="13.5" customHeight="1" spans="1:4">
      <c r="A56" s="2"/>
      <c r="D56" s="2"/>
    </row>
    <row r="57" ht="13.5" customHeight="1" spans="1:4">
      <c r="A57" s="2"/>
      <c r="D57" s="2"/>
    </row>
    <row r="58" ht="13.5" customHeight="1" spans="1:4">
      <c r="A58" s="2"/>
      <c r="D58" s="2"/>
    </row>
    <row r="59" ht="13.5" customHeight="1" spans="1:4">
      <c r="A59" s="2"/>
      <c r="D59" s="2"/>
    </row>
    <row r="60" ht="13.5" customHeight="1" spans="1:4">
      <c r="A60" s="2"/>
      <c r="D60" s="2"/>
    </row>
    <row r="61" ht="13.5" customHeight="1" spans="1:4">
      <c r="A61" s="2"/>
      <c r="D61" s="2"/>
    </row>
    <row r="62" ht="13.5" customHeight="1" spans="1:1">
      <c r="A62" s="2"/>
    </row>
    <row r="63" ht="13.5" customHeight="1" spans="1:1">
      <c r="A63" s="2"/>
    </row>
    <row r="64" ht="13.5" customHeight="1" spans="1:1">
      <c r="A64" s="2"/>
    </row>
    <row r="65" ht="13.5" customHeight="1" spans="1:1">
      <c r="A65" s="2"/>
    </row>
    <row r="66" ht="13.5" customHeight="1" spans="1:1">
      <c r="A66" s="2"/>
    </row>
    <row r="67" ht="13.5" customHeight="1" spans="1:1">
      <c r="A67" s="2"/>
    </row>
    <row r="68" ht="13.5" customHeight="1" spans="1:1">
      <c r="A68" s="2"/>
    </row>
    <row r="69" ht="13.5" customHeight="1" spans="1:1">
      <c r="A69" s="2"/>
    </row>
    <row r="70" ht="13.5" customHeight="1" spans="1:1">
      <c r="A70" s="2"/>
    </row>
    <row r="71" ht="13.5" customHeight="1" spans="1:1">
      <c r="A71" s="2"/>
    </row>
    <row r="72" ht="13.5" customHeight="1" spans="1:1">
      <c r="A72" s="2"/>
    </row>
    <row r="73" ht="13.5" customHeight="1" spans="1:1">
      <c r="A73" s="2"/>
    </row>
  </sheetData>
  <pageMargins left="0.699305555555556" right="0.699305555555556" top="0.75" bottom="0.75" header="0.3" footer="0.3"/>
  <pageSetup paperSize="1" orientation="portrait"/>
  <headerFooter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1"/>
  <dimension ref="A2:B18"/>
  <sheetViews>
    <sheetView workbookViewId="0">
      <selection activeCell="B18" sqref="A3:B18"/>
    </sheetView>
  </sheetViews>
  <sheetFormatPr defaultColWidth="9" defaultRowHeight="13.5" outlineLevelCol="1"/>
  <cols>
    <col min="1" max="1" width="32.8571428571429" customWidth="1"/>
  </cols>
  <sheetData>
    <row r="2" spans="1:2">
      <c r="A2" s="1" t="s">
        <v>48</v>
      </c>
      <c r="B2" s="1"/>
    </row>
    <row r="3" spans="1:2">
      <c r="A3" s="2" t="s">
        <v>60</v>
      </c>
      <c r="B3">
        <v>18</v>
      </c>
    </row>
    <row r="4" spans="1:2">
      <c r="A4" s="2" t="s">
        <v>76</v>
      </c>
      <c r="B4">
        <v>1</v>
      </c>
    </row>
    <row r="5" spans="1:2">
      <c r="A5" s="2" t="s">
        <v>69</v>
      </c>
      <c r="B5">
        <v>1</v>
      </c>
    </row>
    <row r="6" spans="1:2">
      <c r="A6" s="2" t="s">
        <v>65</v>
      </c>
      <c r="B6">
        <v>18</v>
      </c>
    </row>
    <row r="7" spans="1:2">
      <c r="A7" s="2" t="s">
        <v>68</v>
      </c>
      <c r="B7">
        <v>9</v>
      </c>
    </row>
    <row r="8" spans="1:2">
      <c r="A8" s="2" t="s">
        <v>74</v>
      </c>
      <c r="B8">
        <v>3</v>
      </c>
    </row>
    <row r="9" spans="1:2">
      <c r="A9" s="2" t="s">
        <v>72</v>
      </c>
      <c r="B9">
        <v>1</v>
      </c>
    </row>
    <row r="10" spans="1:2">
      <c r="A10" s="2" t="s">
        <v>64</v>
      </c>
      <c r="B10">
        <v>5</v>
      </c>
    </row>
    <row r="11" spans="1:2">
      <c r="A11" s="2" t="s">
        <v>62</v>
      </c>
      <c r="B11">
        <v>2</v>
      </c>
    </row>
    <row r="12" spans="1:2">
      <c r="A12" s="2" t="s">
        <v>57</v>
      </c>
      <c r="B12">
        <v>64</v>
      </c>
    </row>
    <row r="13" spans="1:2">
      <c r="A13" s="2" t="s">
        <v>59</v>
      </c>
      <c r="B13">
        <v>10</v>
      </c>
    </row>
    <row r="14" spans="1:2">
      <c r="A14" s="2" t="s">
        <v>421</v>
      </c>
      <c r="B14">
        <v>9</v>
      </c>
    </row>
    <row r="15" spans="1:2">
      <c r="A15" s="2" t="s">
        <v>63</v>
      </c>
      <c r="B15">
        <v>4</v>
      </c>
    </row>
    <row r="16" spans="1:2">
      <c r="A16" s="2" t="s">
        <v>73</v>
      </c>
      <c r="B16">
        <v>56</v>
      </c>
    </row>
    <row r="17" spans="1:1">
      <c r="A17" s="2"/>
    </row>
    <row r="18" spans="1:1">
      <c r="A18" s="2"/>
    </row>
  </sheetData>
  <pageMargins left="0.699305555555556" right="0.699305555555556" top="0.75" bottom="0.75" header="0.3" footer="0.3"/>
  <headerFooter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2"/>
  <dimension ref="A2:B13"/>
  <sheetViews>
    <sheetView workbookViewId="0">
      <selection activeCell="B14" sqref="A3:B14"/>
    </sheetView>
  </sheetViews>
  <sheetFormatPr defaultColWidth="9" defaultRowHeight="13.5" outlineLevelCol="1"/>
  <cols>
    <col min="1" max="1" width="32.8571428571429" customWidth="1"/>
  </cols>
  <sheetData>
    <row r="2" spans="1:2">
      <c r="A2" s="1" t="s">
        <v>48</v>
      </c>
      <c r="B2" s="1"/>
    </row>
    <row r="3" spans="1:2">
      <c r="A3" s="2" t="s">
        <v>71</v>
      </c>
      <c r="B3">
        <v>1</v>
      </c>
    </row>
    <row r="4" spans="1:2">
      <c r="A4" s="2" t="s">
        <v>60</v>
      </c>
      <c r="B4">
        <v>2</v>
      </c>
    </row>
    <row r="5" spans="1:2">
      <c r="A5" s="2" t="s">
        <v>70</v>
      </c>
      <c r="B5">
        <v>1</v>
      </c>
    </row>
    <row r="6" spans="1:2">
      <c r="A6" s="2" t="s">
        <v>61</v>
      </c>
      <c r="B6">
        <v>1</v>
      </c>
    </row>
    <row r="7" spans="1:2">
      <c r="A7" s="2" t="s">
        <v>63</v>
      </c>
      <c r="B7">
        <v>1</v>
      </c>
    </row>
    <row r="8" spans="1:2">
      <c r="A8" s="2" t="s">
        <v>62</v>
      </c>
      <c r="B8">
        <v>1</v>
      </c>
    </row>
    <row r="9" spans="1:2">
      <c r="A9" s="2" t="s">
        <v>67</v>
      </c>
      <c r="B9">
        <v>1</v>
      </c>
    </row>
    <row r="10" spans="1:2">
      <c r="A10" s="2" t="s">
        <v>75</v>
      </c>
      <c r="B10">
        <v>2</v>
      </c>
    </row>
    <row r="11" spans="1:2">
      <c r="A11" s="2" t="s">
        <v>66</v>
      </c>
      <c r="B11">
        <v>2</v>
      </c>
    </row>
    <row r="12" spans="1:2">
      <c r="A12" t="s">
        <v>79</v>
      </c>
      <c r="B12">
        <v>1</v>
      </c>
    </row>
    <row r="13" spans="1:2">
      <c r="A13" t="s">
        <v>76</v>
      </c>
      <c r="B13">
        <v>1</v>
      </c>
    </row>
  </sheetData>
  <pageMargins left="0.699305555555556" right="0.699305555555556" top="0.75" bottom="0.75" header="0.3" footer="0.3"/>
  <pageSetup paperSize="9" orientation="portrait"/>
  <headerFooter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3"/>
  <dimension ref="A2:B13"/>
  <sheetViews>
    <sheetView workbookViewId="0">
      <selection activeCell="B13" sqref="A3:B13"/>
    </sheetView>
  </sheetViews>
  <sheetFormatPr defaultColWidth="9" defaultRowHeight="13.5" outlineLevelCol="1"/>
  <cols>
    <col min="1" max="1" width="32.8571428571429" customWidth="1"/>
  </cols>
  <sheetData>
    <row r="2" spans="1:2">
      <c r="A2" s="1" t="s">
        <v>48</v>
      </c>
      <c r="B2" s="1"/>
    </row>
    <row r="3" spans="1:2">
      <c r="A3" s="2" t="s">
        <v>60</v>
      </c>
      <c r="B3">
        <v>6</v>
      </c>
    </row>
    <row r="4" spans="1:2">
      <c r="A4" s="2" t="s">
        <v>61</v>
      </c>
      <c r="B4">
        <v>5</v>
      </c>
    </row>
    <row r="5" spans="1:2">
      <c r="A5" s="2" t="s">
        <v>68</v>
      </c>
      <c r="B5">
        <v>3</v>
      </c>
    </row>
    <row r="6" spans="1:2">
      <c r="A6" s="2" t="s">
        <v>72</v>
      </c>
      <c r="B6">
        <v>2</v>
      </c>
    </row>
    <row r="7" spans="1:2">
      <c r="A7" s="2" t="s">
        <v>64</v>
      </c>
      <c r="B7">
        <v>3</v>
      </c>
    </row>
    <row r="8" spans="1:2">
      <c r="A8" s="2" t="s">
        <v>57</v>
      </c>
      <c r="B8">
        <v>9</v>
      </c>
    </row>
    <row r="9" spans="1:2">
      <c r="A9" s="2" t="s">
        <v>59</v>
      </c>
      <c r="B9">
        <v>4</v>
      </c>
    </row>
    <row r="10" spans="1:2">
      <c r="A10" s="2" t="s">
        <v>421</v>
      </c>
      <c r="B10">
        <v>4</v>
      </c>
    </row>
    <row r="11" spans="1:2">
      <c r="A11" s="2" t="s">
        <v>63</v>
      </c>
      <c r="B11">
        <v>9</v>
      </c>
    </row>
    <row r="12" spans="1:2">
      <c r="A12" s="2" t="s">
        <v>73</v>
      </c>
      <c r="B12">
        <v>8</v>
      </c>
    </row>
    <row r="13" spans="1:2">
      <c r="A13" t="s">
        <v>77</v>
      </c>
      <c r="B13">
        <v>2</v>
      </c>
    </row>
  </sheetData>
  <pageMargins left="0.699305555555556" right="0.699305555555556" top="0.75" bottom="0.75" header="0.3" footer="0.3"/>
  <headerFooter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4"/>
  <dimension ref="A2:B8"/>
  <sheetViews>
    <sheetView workbookViewId="0">
      <selection activeCell="B5" sqref="A3:B5"/>
    </sheetView>
  </sheetViews>
  <sheetFormatPr defaultColWidth="9" defaultRowHeight="13.5" outlineLevelRow="7" outlineLevelCol="1"/>
  <cols>
    <col min="1" max="1" width="32.8571428571429" customWidth="1"/>
  </cols>
  <sheetData>
    <row r="2" spans="1:2">
      <c r="A2" s="1" t="s">
        <v>48</v>
      </c>
      <c r="B2" s="1"/>
    </row>
    <row r="3" spans="1:2">
      <c r="A3" s="2" t="s">
        <v>68</v>
      </c>
      <c r="B3">
        <v>1</v>
      </c>
    </row>
    <row r="4" spans="1:2">
      <c r="A4" s="2" t="s">
        <v>80</v>
      </c>
      <c r="B4">
        <v>1</v>
      </c>
    </row>
    <row r="5" spans="1:2">
      <c r="A5" s="2" t="s">
        <v>73</v>
      </c>
      <c r="B5">
        <v>1</v>
      </c>
    </row>
    <row r="6" spans="1:1">
      <c r="A6" s="2"/>
    </row>
    <row r="7" spans="1:1">
      <c r="A7" s="2"/>
    </row>
    <row r="8" spans="1:1">
      <c r="A8" s="2"/>
    </row>
  </sheetData>
  <pageMargins left="0.699305555555556" right="0.699305555555556" top="0.75" bottom="0.75" header="0.3" footer="0.3"/>
  <headerFooter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5"/>
  <dimension ref="A2:B18"/>
  <sheetViews>
    <sheetView workbookViewId="0">
      <selection activeCell="B12" sqref="A3:B12"/>
    </sheetView>
  </sheetViews>
  <sheetFormatPr defaultColWidth="9" defaultRowHeight="13.5" outlineLevelCol="1"/>
  <cols>
    <col min="1" max="1" width="32.8571428571429" customWidth="1"/>
  </cols>
  <sheetData>
    <row r="2" spans="1:2">
      <c r="A2" s="1" t="s">
        <v>48</v>
      </c>
      <c r="B2" s="1"/>
    </row>
    <row r="3" spans="1:2">
      <c r="A3" s="2" t="s">
        <v>60</v>
      </c>
      <c r="B3" s="3">
        <v>1</v>
      </c>
    </row>
    <row r="4" spans="1:2">
      <c r="A4" s="2" t="s">
        <v>65</v>
      </c>
      <c r="B4" s="3">
        <v>1</v>
      </c>
    </row>
    <row r="5" spans="1:2">
      <c r="A5" s="2" t="s">
        <v>68</v>
      </c>
      <c r="B5">
        <v>3</v>
      </c>
    </row>
    <row r="6" spans="1:2">
      <c r="A6" s="2" t="s">
        <v>78</v>
      </c>
      <c r="B6">
        <v>1</v>
      </c>
    </row>
    <row r="7" spans="1:2">
      <c r="A7" s="2" t="s">
        <v>64</v>
      </c>
      <c r="B7">
        <v>1</v>
      </c>
    </row>
    <row r="8" spans="1:2">
      <c r="A8" s="2" t="s">
        <v>57</v>
      </c>
      <c r="B8">
        <v>2</v>
      </c>
    </row>
    <row r="9" spans="1:2">
      <c r="A9" s="2" t="s">
        <v>421</v>
      </c>
      <c r="B9">
        <v>1</v>
      </c>
    </row>
    <row r="10" spans="1:2">
      <c r="A10" s="2" t="s">
        <v>63</v>
      </c>
      <c r="B10">
        <v>1</v>
      </c>
    </row>
    <row r="11" spans="1:2">
      <c r="A11" t="s">
        <v>73</v>
      </c>
      <c r="B11">
        <v>1</v>
      </c>
    </row>
    <row r="13" spans="1:1">
      <c r="A13" s="2"/>
    </row>
    <row r="14" spans="1:1">
      <c r="A14" s="2"/>
    </row>
    <row r="15" spans="1:1">
      <c r="A15" s="2"/>
    </row>
    <row r="16" spans="1:1">
      <c r="A16" s="2"/>
    </row>
    <row r="17" spans="1:1">
      <c r="A17" s="2"/>
    </row>
    <row r="18" spans="1:1">
      <c r="A18" s="2"/>
    </row>
  </sheetData>
  <pageMargins left="0.699305555555556" right="0.699305555555556" top="0.75" bottom="0.75" header="0.3" footer="0.3"/>
  <headerFooter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6"/>
  <dimension ref="A2:B8"/>
  <sheetViews>
    <sheetView workbookViewId="0">
      <selection activeCell="K22" sqref="K22"/>
    </sheetView>
  </sheetViews>
  <sheetFormatPr defaultColWidth="9" defaultRowHeight="13.5" outlineLevelRow="7" outlineLevelCol="1"/>
  <cols>
    <col min="1" max="1" width="32.8571428571429" customWidth="1"/>
  </cols>
  <sheetData>
    <row r="2" spans="1:2">
      <c r="A2" s="1" t="s">
        <v>48</v>
      </c>
      <c r="B2" s="1"/>
    </row>
    <row r="3" spans="1:1">
      <c r="A3" s="2"/>
    </row>
    <row r="4" spans="1:1">
      <c r="A4" s="2"/>
    </row>
    <row r="5" spans="1:1">
      <c r="A5" s="2"/>
    </row>
    <row r="6" spans="1:1">
      <c r="A6" s="2"/>
    </row>
    <row r="7" spans="1:1">
      <c r="A7" s="2"/>
    </row>
    <row r="8" spans="1:1">
      <c r="A8" s="2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26</vt:i4>
      </vt:variant>
    </vt:vector>
  </HeadingPairs>
  <TitlesOfParts>
    <vt:vector size="26" baseType="lpstr">
      <vt:lpstr>Changes</vt:lpstr>
      <vt:lpstr>WO-Sep 2017</vt:lpstr>
      <vt:lpstr>WO Data</vt:lpstr>
      <vt:lpstr>Sep 2017 Tickets</vt:lpstr>
      <vt:lpstr>Total Portfolio-slide 12</vt:lpstr>
      <vt:lpstr>ECC</vt:lpstr>
      <vt:lpstr>FileNet</vt:lpstr>
      <vt:lpstr>SEDS</vt:lpstr>
      <vt:lpstr>Kofax</vt:lpstr>
      <vt:lpstr>ILINX</vt:lpstr>
      <vt:lpstr>Alexandria</vt:lpstr>
      <vt:lpstr>STMP</vt:lpstr>
      <vt:lpstr>Reference</vt:lpstr>
      <vt:lpstr>Sheet1</vt:lpstr>
      <vt:lpstr>Total Incidents</vt:lpstr>
      <vt:lpstr>Total Vol</vt:lpstr>
      <vt:lpstr>Sheet2</vt:lpstr>
      <vt:lpstr>Sheet3</vt:lpstr>
      <vt:lpstr>RCA Counts</vt:lpstr>
      <vt:lpstr>RCA Trend</vt:lpstr>
      <vt:lpstr>RCA-ECC</vt:lpstr>
      <vt:lpstr>RCA-FileNet</vt:lpstr>
      <vt:lpstr>RCA-SEDS</vt:lpstr>
      <vt:lpstr>RCA-Kofax</vt:lpstr>
      <vt:lpstr>RCA-ILINX</vt:lpstr>
      <vt:lpstr>RCA-Alexandria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Soujanya.Karnam@SunTrust.com</dc:creator>
  <cp:lastModifiedBy>Tripathi.Anshuman</cp:lastModifiedBy>
  <dcterms:created xsi:type="dcterms:W3CDTF">2016-02-06T03:16:00Z</dcterms:created>
  <cp:lastPrinted>2016-03-03T18:06:00Z</cp:lastPrinted>
  <dcterms:modified xsi:type="dcterms:W3CDTF">2017-10-26T23:38:13Z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1033-10.1.0.5707</vt:lpwstr>
  </property>
</Properties>
</file>